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xr:revisionPtr revIDLastSave="0" documentId="13_ncr:1_{8C34DA0E-2955-4DCA-81BA-96242EA21C47}" xr6:coauthVersionLast="47" xr6:coauthVersionMax="47" xr10:uidLastSave="{00000000-0000-0000-0000-000000000000}"/>
  <bookViews>
    <workbookView xWindow="0" yWindow="0" windowWidth="14445" windowHeight="11385" activeTab="2" xr2:uid="{00000000-000D-0000-FFFF-FFFF00000000}"/>
  </bookViews>
  <sheets>
    <sheet name="ReporteTemp" sheetId="88" r:id="rId1"/>
    <sheet name="Hoja1" sheetId="4" r:id="rId2"/>
    <sheet name="BaseMediciones" sheetId="3" r:id="rId3"/>
    <sheet name="Indicadores" sheetId="79" r:id="rId4"/>
  </sheets>
  <definedNames>
    <definedName name="_xlnm._FilterDatabase" localSheetId="2" hidden="1">BaseMediciones!$A$1:$I$704</definedName>
    <definedName name="_xlnm._FilterDatabase" localSheetId="3" hidden="1">Indicadores!$A$1:$K$283</definedName>
    <definedName name="_xlnm._FilterDatabase" localSheetId="0" hidden="1">ReporteTemp!$A$1:$G$10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3" i="3" l="1"/>
  <c r="I37" i="3"/>
</calcChain>
</file>

<file path=xl/sharedStrings.xml><?xml version="1.0" encoding="utf-8"?>
<sst xmlns="http://schemas.openxmlformats.org/spreadsheetml/2006/main" count="6677" uniqueCount="645">
  <si>
    <t>Ámbito</t>
  </si>
  <si>
    <t>Característica</t>
  </si>
  <si>
    <t>Nombre del Indicador</t>
  </si>
  <si>
    <t>Nominador</t>
  </si>
  <si>
    <t>Denominador</t>
  </si>
  <si>
    <t>Periodicidad</t>
  </si>
  <si>
    <t>Muestra/Universo</t>
  </si>
  <si>
    <t>Meta</t>
  </si>
  <si>
    <t>Margen de Error</t>
  </si>
  <si>
    <t>Dignidad del paciente</t>
  </si>
  <si>
    <t>Gestión de la calidad</t>
  </si>
  <si>
    <t>Gestión clínica</t>
  </si>
  <si>
    <t>Acceso, oportunidad y continuidad de la atención</t>
  </si>
  <si>
    <t>Recurso Humano</t>
  </si>
  <si>
    <t>Registros</t>
  </si>
  <si>
    <t>Servicios de apoyo</t>
  </si>
  <si>
    <t>DP 2.1</t>
  </si>
  <si>
    <t>CAL 1.2</t>
  </si>
  <si>
    <t>GCL 1.1</t>
  </si>
  <si>
    <t>GCL 1.6</t>
  </si>
  <si>
    <t>GCL 1.9</t>
  </si>
  <si>
    <t>GCL 1.12</t>
  </si>
  <si>
    <t>GCL 1.13</t>
  </si>
  <si>
    <t>GCL 2.1</t>
  </si>
  <si>
    <t>GCL 3.3</t>
  </si>
  <si>
    <t>AOC 1.2</t>
  </si>
  <si>
    <t>APL 1.2</t>
  </si>
  <si>
    <t>APF 1.4</t>
  </si>
  <si>
    <t>APE 1.5</t>
  </si>
  <si>
    <t>APD 1.3</t>
  </si>
  <si>
    <t>APA 1.3</t>
  </si>
  <si>
    <t>APQ 1.2</t>
  </si>
  <si>
    <t>APQ 1.3</t>
  </si>
  <si>
    <t>API 1.2</t>
  </si>
  <si>
    <t>APK 1.2</t>
  </si>
  <si>
    <t>APK 1.3</t>
  </si>
  <si>
    <t>APTr 1.2</t>
  </si>
  <si>
    <t>APDs 1.1</t>
  </si>
  <si>
    <t>APCs 1.2</t>
  </si>
  <si>
    <t>Porcentaje de cumplimiento del procedimiento de oportunidad de higiene de manos en alumnos de pregrado que realizan prácticas dentro de la institución.</t>
  </si>
  <si>
    <t xml:space="preserve">Porcentaje de pacientes con vía venosa periférica que cumplen con procedimiento de mantención de vía venosa </t>
  </si>
  <si>
    <t xml:space="preserve">Porcentaje de pacientes con ventilación mecánica Invasiva que cumplen con protocolo de manejo de ventilación mecánica invasiva (VMI) </t>
  </si>
  <si>
    <t xml:space="preserve">Porcentaje de pacientes con catéter venoso central que cumplen con protocolo de manejo de vía venosa central </t>
  </si>
  <si>
    <t>Porcentaje de pacientes intervenidos quirúrgicamente que cuentan con chequeo de seguridad para intervención quirúrgica de acuerdo a procedimiento.</t>
  </si>
  <si>
    <t>Porcentaje de epicrisis que cumplen con datos mínimos de acuerdo a protocolo</t>
  </si>
  <si>
    <t>Porcentaje de consultas ambulatorias espontanea que se originan en atención dental que cumplen con datos mínimos de acuerdo a protocolo institucional.</t>
  </si>
  <si>
    <t xml:space="preserve">Porcentaje de Informes de procedimientos que cumplen con datos mínimos de acuerdo a lo descrito en protocolo institucional.  </t>
  </si>
  <si>
    <t>Porcentaje de cumplimiento de contenidos mínimos en el registro del Dato de Atención de Urgencia (DAU) de pacientes atendidos, llenados por médico.</t>
  </si>
  <si>
    <t>Porcentaje de pacientes que al momento del alta, reciben su epicrisis medica de acuerdo a protocolo.</t>
  </si>
  <si>
    <t>Porcentaje de exámenes de hematocrito informados en un tiempo  ≤  a 60 minutos a las unidades criticas</t>
  </si>
  <si>
    <t>Porcentaje de exámenes de gases en sangre informados en un tiempo  ≤  a 30 minutos a las unidades críticas.</t>
  </si>
  <si>
    <t>Porcentaje de cumplimiento de los datos exigibles requeridos para la devolución de medicamentos desde los servicios/unidades clínicas a la Farmacia de Atención Cerrada.</t>
  </si>
  <si>
    <t>Porcentaje de cumplimiento de procedimientos de ingreso de funcionarios a la Cámara de transferencia de acuerdo a protocolo.</t>
  </si>
  <si>
    <t>Porcentaje de equipos endoscópicos sometidos a desinfección de alto nivel (DAN) con bioluminiscencia negativa.</t>
  </si>
  <si>
    <t>Porcentaje de pacientes con TAC con medio de contraste EV que se les aplicó pauta de chequeo de seguridad.</t>
  </si>
  <si>
    <t>Porcentaje de pacientes ambulatorios sometidos a procedimientos imagenológicos intervencionales que reciben indicaciones post examen en el servicio de Imagenologia.</t>
  </si>
  <si>
    <t>Porcentaje de pacientes con indicación de electroterapia que cuentan con medidas preventivas.</t>
  </si>
  <si>
    <t>Porcentaje de reacciones adversas asociadas a la transfusión de hemocomponentes en pacientes.</t>
  </si>
  <si>
    <t xml:space="preserve">Porcentaje de procedimientos de venopunción para extracción de sangre en donantes de sangre, de acuerdo a protocolo.  </t>
  </si>
  <si>
    <t>N° de oportunidades de atención observadas que cumplen con higienización de manos según protocolo.</t>
  </si>
  <si>
    <t>N° de lavado de manos quirúrgicos que cumple en estamento medico según protocolo.</t>
  </si>
  <si>
    <t>N° de días con registro de T° entre 2°C y 8°C en el mes.</t>
  </si>
  <si>
    <t xml:space="preserve">N° de pacientes evaluados en ventilación mecánica invasiva que cumplen con pauta de manejo de ventilación mecánica invasiva </t>
  </si>
  <si>
    <t xml:space="preserve">N° de indicaciones de transfusión de glóbulos rojos realizadas, que cumplen con los criterios de transfusión establecidos en el protocolo.      </t>
  </si>
  <si>
    <t>N° de procedimientos de administración de medicamentos supervisados, que cumplen los seis correctos.</t>
  </si>
  <si>
    <t>N° de pacientes con riesgo moderado y alto de presentar LPP y que se encuentran con medidas preventivas aplicadas.</t>
  </si>
  <si>
    <t>N° de pacientes en procedimientos endoscópicos evaluados y que cuentan con medidas preventivas en caídas.</t>
  </si>
  <si>
    <t xml:space="preserve">N° de tactos vaginales que cumplen con la norma. </t>
  </si>
  <si>
    <t xml:space="preserve">N° de resultados críticos notificados en un tiempo menor o igual a 60 minutos vía telefónica a los servicios clínicos pertenecientes a atención cerrada en el trimestre </t>
  </si>
  <si>
    <t xml:space="preserve">N° de resultados críticos notificados en el tiempo estipulado.     </t>
  </si>
  <si>
    <t>N° de trabajadores expuestos en riesgo I y II  con esquema de vacunación completo contra la Hepatitis B.</t>
  </si>
  <si>
    <t>N° de protocolos operatorios evaluados que cuentan con datos mínimo de acuerdo al protocolo institucional.</t>
  </si>
  <si>
    <t>Nº de pacientes ambulatorios sometidos a coronariografía que egresan con informe de la prestación realizada.</t>
  </si>
  <si>
    <t>Nº de pacientes que al momento del alta reciben su epicrisis de acuerdo al protocolo.</t>
  </si>
  <si>
    <t xml:space="preserve">Nº de pacientes  que reciben atención dental de urgencia y que se retiran con informe de atención realizada de acuerdo a protocolo. </t>
  </si>
  <si>
    <t>Nº de exámenes de hematocrito de las unidades criticas informados en un  tiempo ≤ a 60 minutos</t>
  </si>
  <si>
    <t>Nº de exámenes de gases en sangre de las unidades criticas informados en un tiempo ≤ a 30 minutos</t>
  </si>
  <si>
    <t xml:space="preserve">Nº de Devolución de Fármacos que cumplen con los datos exigibles descritos en el documento </t>
  </si>
  <si>
    <t>Nº de procedimientos de ingreso de funcionarios, realizados a la Cámara de transferencia que cumplen con todos los criterios de ingreso, según protocolo.</t>
  </si>
  <si>
    <t>N° de endoscopios sometidos a DAN con bioluminiscencia negativa.</t>
  </si>
  <si>
    <t>N° de procedimiento de conexión de CHD ejecutadas que cumplen con lo definido en el protocolo</t>
  </si>
  <si>
    <t>Nº de pacientes ingresados a peritoneo diálisis, que cumplen con programa educativo completo en el período.</t>
  </si>
  <si>
    <t xml:space="preserve">N° de procedimientos de manejo de drogas citotóxicas de administración intravitrea en Policlínico Oftalmología que cumplen con el procedimiento institucional (bevacizumab-avastin®). </t>
  </si>
  <si>
    <t xml:space="preserve">N° de pacientes ambulatorios que se realizaron procedimientos imagenológicos intervencionales en el servicio de Imagenología y que se retiran con indicaciones post examen escritas.              </t>
  </si>
  <si>
    <t>N° de pacientes con indicación de electroterapia que cuentan con medidas preventivas.</t>
  </si>
  <si>
    <t>N° de reacciones adversas asociadas a la transfusión de unidades de hemocomponentes.</t>
  </si>
  <si>
    <t>N° de procedimientos de venopunción en donantes de sangre evaluados, que cumplen con el protocolo.</t>
  </si>
  <si>
    <t>N° Total de consentimiento informado evaluados</t>
  </si>
  <si>
    <t>N° total de oportunidades de atención observadas.</t>
  </si>
  <si>
    <t>N° total de lavado de manos quirúrgicos en estamento medico evaluada.</t>
  </si>
  <si>
    <t xml:space="preserve">N° total de pacientes con preparación preoperatoria evaluados </t>
  </si>
  <si>
    <t>N° total de pacientes con vía venosa periférica evaluados</t>
  </si>
  <si>
    <t>N° total de días con registro de T° en el mes.</t>
  </si>
  <si>
    <t xml:space="preserve">N° total de pacientes post operados evaluados.  </t>
  </si>
  <si>
    <t xml:space="preserve">N° total de indicaciones de transfusión de glóbulos rojos realizadas </t>
  </si>
  <si>
    <t>N° de procedimientos de administración de medicamentos supervisados.</t>
  </si>
  <si>
    <t>N° total de pacientes en procedimientos endoscópicos evaluados.</t>
  </si>
  <si>
    <t>N° total de higiene de manos evaluadas.</t>
  </si>
  <si>
    <t xml:space="preserve">N° total de tactos vaginales observados. </t>
  </si>
  <si>
    <t>N° total de trabajadores expuestos en riesgo I y II  vigentes</t>
  </si>
  <si>
    <t xml:space="preserve">N° total de epicrisis de la UPCA evaluadas.  </t>
  </si>
  <si>
    <t>N° total de consultas ambulatorias espontaneas que se originan en el SEO</t>
  </si>
  <si>
    <t xml:space="preserve">N° total de Informes de procedimientos evaluados.  </t>
  </si>
  <si>
    <t>N° total de DAU de pacientes atendidos revisados en el periodo.</t>
  </si>
  <si>
    <t xml:space="preserve">N° total de protocolos operatorios evaluados.  </t>
  </si>
  <si>
    <t>Nº total de pacientes ambulatorios sometidos a coronariografía.</t>
  </si>
  <si>
    <t>Nº total de pacientes que reciben atención dental de urgencia.</t>
  </si>
  <si>
    <t>Nº total de pacientes que finalizan su primer ciclo de tratamiento quimioterápico.</t>
  </si>
  <si>
    <t>Nº total de exámenes de hematocrito recibidos de las unidades criticas</t>
  </si>
  <si>
    <t>Nº total de exámenes de gases en sangre recibidos de las unidades criticas</t>
  </si>
  <si>
    <t>Nº total de Devolución de Fármacos</t>
  </si>
  <si>
    <t>Nº total de procedimientos de ingreso de funcionarios la a Cámara de transferencia observados.</t>
  </si>
  <si>
    <t>Nº total de pacientes ingresados a peritoneo diálisis en el período.</t>
  </si>
  <si>
    <t>N° de procedimientos de manejo de drogas citotóxicas de administración intravitrea en Policlínico Oftalmología, evaluados en el periodo.</t>
  </si>
  <si>
    <t>N° total de pacientes sometidos a  CNG y ACTP  con medio de contraste intracoronario.</t>
  </si>
  <si>
    <t xml:space="preserve">N° total de pacientes ambulatorios que se realizaron procedimientos imagenológicos intervencionales en el servicio de Imagenología. </t>
  </si>
  <si>
    <t>N° total de pacientes con indicación de electroterapia</t>
  </si>
  <si>
    <t>N° total de unidades de hemocomponentes transfundidas.</t>
  </si>
  <si>
    <t>N° total de procedimientos de venopunción en donantes de sangre evaluados.</t>
  </si>
  <si>
    <t>≥ 90%</t>
  </si>
  <si>
    <t>≥ 75%</t>
  </si>
  <si>
    <t>≥ 60%</t>
  </si>
  <si>
    <t>≥ 85%</t>
  </si>
  <si>
    <t>≥ 80%</t>
  </si>
  <si>
    <t>≥ 95%</t>
  </si>
  <si>
    <t>ARCHIVO</t>
  </si>
  <si>
    <t>ENDOSCOPIA</t>
  </si>
  <si>
    <t>PABELLON UCMA</t>
  </si>
  <si>
    <t>SALUD OCUPACIONAL</t>
  </si>
  <si>
    <t>UPCC</t>
  </si>
  <si>
    <t>UPCNEO</t>
  </si>
  <si>
    <t>URGENCIA ADULTO</t>
  </si>
  <si>
    <t>URGENCIA PEDIATRICA</t>
  </si>
  <si>
    <t>Servicio</t>
  </si>
  <si>
    <t>Año</t>
  </si>
  <si>
    <t>Mes</t>
  </si>
  <si>
    <t>Indicador</t>
  </si>
  <si>
    <t>Numerador</t>
  </si>
  <si>
    <t>Porcentaje</t>
  </si>
  <si>
    <t>Enero</t>
  </si>
  <si>
    <t>Febrero</t>
  </si>
  <si>
    <t>Periodo</t>
  </si>
  <si>
    <t>Mayo</t>
  </si>
  <si>
    <t>MEDICINA 1</t>
  </si>
  <si>
    <t>MEDICINA 2</t>
  </si>
  <si>
    <t>CARDIOLOGÍA ADULTO</t>
  </si>
  <si>
    <t>CIRUGIA</t>
  </si>
  <si>
    <t>ESPECIALIDADES QUIRÚRGICAS</t>
  </si>
  <si>
    <t>GINECOLOGIA Y OBSTETRICIA</t>
  </si>
  <si>
    <t>PEDIATRIA</t>
  </si>
  <si>
    <t>UTIP</t>
  </si>
  <si>
    <t xml:space="preserve">UPCA </t>
  </si>
  <si>
    <t xml:space="preserve">UHI </t>
  </si>
  <si>
    <t>HEMODINAMIA</t>
  </si>
  <si>
    <t>IMAGEN</t>
  </si>
  <si>
    <t>CITOSCOPIA</t>
  </si>
  <si>
    <t xml:space="preserve">UNIVERSO </t>
  </si>
  <si>
    <t>SIN MARGEN DE ERROR</t>
  </si>
  <si>
    <t>MUESTRA</t>
  </si>
  <si>
    <t>PABELLÓN</t>
  </si>
  <si>
    <t>URGENCIA GINE-OBSTETRICA</t>
  </si>
  <si>
    <t>SALA PARTO INTEGRAL</t>
  </si>
  <si>
    <t xml:space="preserve">DP 4.2 </t>
  </si>
  <si>
    <t>Porcentaje de cumplimiento del procedimiento de oportunidad de higiene de manos en alumnos de pregrado que realizan prácticas dentro de la institución</t>
  </si>
  <si>
    <t xml:space="preserve">SEMESTRAL </t>
  </si>
  <si>
    <t xml:space="preserve">GCL 1.1 </t>
  </si>
  <si>
    <t>Porcentaje de pacientes con cirugía general  que cuenta con los requisitos mínimos de evaluación pre anestésica (EPA) de acuerdo a protocolo.</t>
  </si>
  <si>
    <t>N° de pacientes con cirugía general que cuentan con EPA que contiene los requisitos mínimos.</t>
  </si>
  <si>
    <t>N° total de pacientes evaluados con cirugía general que cuentan con EPA.</t>
  </si>
  <si>
    <t>TRIMESTRAL</t>
  </si>
  <si>
    <t>PABELLON GO</t>
  </si>
  <si>
    <t>Porcentaje de pacientes con cirugía GO  que cuenta con los requisitos mínimos de evaluación pre anestésica (EPA) de acuerdo a protocolo.</t>
  </si>
  <si>
    <t>N° de pacientes con cirugía GO que cuentan con EPA que contiene los requisitos mínimos.</t>
  </si>
  <si>
    <t>N° total de pacientes evaluados con cirugía GO que cuentan con EPA.</t>
  </si>
  <si>
    <t>Porcentaje de pacientes con cirugía CMA   que cuenta con los requisitos mínimos de evaluación pre anestésica (EPA) de acuerdo a protocolo.</t>
  </si>
  <si>
    <t>N° de pacientes con cirugía CMA  que cuentan con EPA que contiene los requisitos mínimos.</t>
  </si>
  <si>
    <t>N° total de pacientes evaluados con cirugía CMA  que cuentan con EPA.</t>
  </si>
  <si>
    <t>Porcentaje de pacientes de la Unidad de Hemodinamia a los que se les aplica anestesia regional y/o general y que cuenten con evaluación pre anestésica (EPA) con los requisitos mínimos según a protocolo vigente.</t>
  </si>
  <si>
    <t>N° de pacientes de la Unidad de Hemodinamia que se les aplica anestesia regional y/o general que cuentan con EPA con el registro de los requisitos mínimos según a protocolo vigente</t>
  </si>
  <si>
    <t>N° total de pacientes de la Unidad de Hemodinamia que se les aplica anestesia regional y/o general que cuenten con EPA.</t>
  </si>
  <si>
    <t xml:space="preserve">SIN MARGEN DE ERROR </t>
  </si>
  <si>
    <t>Porcentaje de pacientes con cirugía gineco obstétrica que cuentan con los requisitos mínimos de evaluación pre anestésica (EPA) de acuerdo a protocolo.</t>
  </si>
  <si>
    <t>N° de pacientes con cirugía gineco obstétrica que cuentan con EPA que contiene los requisitos mínimos.</t>
  </si>
  <si>
    <t>N° total de pacientes evaluados con cirugía gineco obstétrica que cuentan con EPA en el periodo.</t>
  </si>
  <si>
    <t xml:space="preserve">GCL 1.2 </t>
  </si>
  <si>
    <t>N° de pacientes con vía venosa periférica evaluados y que cumplen con pauta de mantención de vía venosa periferica</t>
  </si>
  <si>
    <t xml:space="preserve">Porcentaje de pacientes ambulatorios a los cuales se les instala vía venosa periférica de acuerdo a procedimiento </t>
  </si>
  <si>
    <t>N° de pacientes ambulatorios evaluados a los cuales se les instala vía venosa periférica según pauta de supervisión.</t>
  </si>
  <si>
    <t>N° total de pacientes ambulatorios evaluados a los cuales se le instala vía venosa periférica en la Unidad de Hemodinamia</t>
  </si>
  <si>
    <t xml:space="preserve">N° de pacientes evaluados que cuentan con catéter venoso central y que cumplen con pauta de manejo de vía venosa central </t>
  </si>
  <si>
    <t>N° total de pacientes evaluados que cuentan con catéter venoso central</t>
  </si>
  <si>
    <t>Porcentaje de pacientes con vía venosa periférica que cumplen con protocolo de mantención de vía venosa periferica</t>
  </si>
  <si>
    <t xml:space="preserve">N° total de pacientes  en VMI </t>
  </si>
  <si>
    <t xml:space="preserve">Porcentaje de pacientes con vía venosa periférica que cumplen con protocolo de mantención de vía venosa </t>
  </si>
  <si>
    <t xml:space="preserve">N° de pacientes evaluados que cuentan con vía venosa periférica que cumplen con pauta de mantención de vía venosa </t>
  </si>
  <si>
    <t xml:space="preserve">N° total de pacientes evaluados que cuentan con vía venosa periférica </t>
  </si>
  <si>
    <t xml:space="preserve">N° de pacientes evaluados que cuentan con vía venosa periférica y que cumplen con pauta de mantención de vía venosa </t>
  </si>
  <si>
    <t>MENSUAL</t>
  </si>
  <si>
    <t>NEONATOLOGIA</t>
  </si>
  <si>
    <t>Porcentaje de pacientes a los cuales se les instala vía venosa periférica de acuerdo a procedimiento en el Servicio de Urgencia.</t>
  </si>
  <si>
    <t>N° de pacientes evaluados a los cuales se les instala vía venosa periférica de acuerdo a pauta de supervision.</t>
  </si>
  <si>
    <t xml:space="preserve">N° total de pacientes evaluados a los cuales se le instala vía venosa periférica </t>
  </si>
  <si>
    <t xml:space="preserve">MUESTRA </t>
  </si>
  <si>
    <t>Porcentaje de pacientes a los cuales se les instala vía venosa periférica de acuerdo a procedimiento en el Servicio de Urgencia GO.</t>
  </si>
  <si>
    <t xml:space="preserve">CENTRAL DE VACUNAS </t>
  </si>
  <si>
    <t xml:space="preserve">Porcentaje de registros de temperatura del refrigerador de almacenamiento de vacunas que se encuentran en rangos óptimos en Central de Vacunas </t>
  </si>
  <si>
    <t>Porcentaje de pacientes que se le administra medicamentos endovenosos según lo descrito en el procedimiento en sala de atención integral de parto.</t>
  </si>
  <si>
    <t xml:space="preserve">N° de pacientes evaluados que se administra medicamentos endovenosos que cumplen con la pauta en SAIP </t>
  </si>
  <si>
    <t xml:space="preserve">N° total de pacientes evaluados que se administra medicamento endovenoso evaluados en SAIP </t>
  </si>
  <si>
    <t xml:space="preserve">GCL 1.3 </t>
  </si>
  <si>
    <t xml:space="preserve">Porcentaje de pacientes post operados de la unidad de recuperación a los cuales se les aplica escala del dolor EVA de acuerdo a procedimiento. </t>
  </si>
  <si>
    <t xml:space="preserve">N° de pacientes post operados evaluados que cuentan con aplicación de la escala de EVA de acuerdo a pauta de supervision </t>
  </si>
  <si>
    <t xml:space="preserve">Porcentaje de pacientes post operados  a los cuales se les aplica escala del dolor EVA de acuerdo a procedimiento. </t>
  </si>
  <si>
    <t xml:space="preserve">N° de pacientes post operados evaluados que cuentan con aplicación de la escala de EVA de acuerdo a pauta de supervision. </t>
  </si>
  <si>
    <t>Porcentaje de pacientes de la Unidad de Hemodinamia a los que se les aplica escala del dolor EVA de acuerdo a procedimiento.</t>
  </si>
  <si>
    <t>N° de pacientes evaluados  en la Unidad de Hemodinamia que cuentan con aplicación de la escala de EVA de acuerdo a pauta de supervision</t>
  </si>
  <si>
    <t>Porcentaje de pacientes post operados , a los cuales se les aplica escala del dolor EVA de acuerdo a procedimiento</t>
  </si>
  <si>
    <t>N° de pacientes post operados evaluados que cuentan con aplicación de la escala de EVA de acuerdo a pauta de supervisión.</t>
  </si>
  <si>
    <t>Porcentaje de pacientes post operados del servicio de obstetricia y Ginecología, a los cuales se les aplica escala del dolor EVA de acuerdo a procedimiento.</t>
  </si>
  <si>
    <t>Porcentaje de pacientes post operados, a los cuales se les aplica escala del dolor EVA de acuerdo a procedimiento.</t>
  </si>
  <si>
    <t xml:space="preserve">N° de pacientes post operados evaluados que cuentan con aplicación de la escala de EVA de acuerdo a pauta de supervisión. </t>
  </si>
  <si>
    <t>Porcentaje de pacientes post operados del servicio de SAIP, a los cuales se les aplica escala del dolor EVA de acuerdo a procedimiento.</t>
  </si>
  <si>
    <t xml:space="preserve">N° de pacientes post operados evaluados que cuentan con aplicación de la escala de EVA de acuerdo a pauta de supervisión  </t>
  </si>
  <si>
    <t>GINECOLOGIA Y OBSTETRICIA / SAIP</t>
  </si>
  <si>
    <t>Porcentaje de pacientes que cumplen con criterios, definidos en el protocolo, para la realización de cesárea.</t>
  </si>
  <si>
    <t>N° de pacientes cesarizadas evaluadas que cumplen con criterios definidos en el documento</t>
  </si>
  <si>
    <t xml:space="preserve">N° total de pacientes cesarizadas  evaluadas                                  en el Hospital de La Serena  </t>
  </si>
  <si>
    <t xml:space="preserve">GCL 1.7 </t>
  </si>
  <si>
    <t>Porcentaje de indicaciones de transfusión de glóbulos rojos , realizadas en el servicio de PABELLÓN Quirurgico, según criterios definidos en el protocolo</t>
  </si>
  <si>
    <t>Porcentaje de indicaciones de transfusión de glóbulos rojos realizadas en U. Cirugia Mayor Ambulatoria, según criterios definidos en el protocolo</t>
  </si>
  <si>
    <t>Porcentaje de indicaciones de transfusión de glóbulos rojos realizadas en U. Hemodinamia, según criterios definidos en el procedimiento vigente</t>
  </si>
  <si>
    <t>Porcentaje de indicaciones de transfusión de glóbulos rojos, según criterios definidos en el protocolo</t>
  </si>
  <si>
    <t>NEFROLOGIA Y DIALISIS</t>
  </si>
  <si>
    <t>Porcentaje de indicaciones de transfusión de glóbulos rojos , según criterios definidos en el protocolo</t>
  </si>
  <si>
    <t xml:space="preserve">QUIMIOTERAPIA </t>
  </si>
  <si>
    <t xml:space="preserve">Porcentaje de indicaciones de transfusión de glóbulos rojos realizadas en el servicio de SAIP, según criterios definidos en el protocolo. </t>
  </si>
  <si>
    <t>Porcentaje  de usuarios con contención física por agitación psicomotora que cumplen las medidas preventivas establecidas en el procedimiento</t>
  </si>
  <si>
    <t xml:space="preserve">N° de pacientes con agitación psicomotora que cumplen con las medidas preventivas definidas en pauta para la prevención de eventos adversos. </t>
  </si>
  <si>
    <t xml:space="preserve">N° total de pacientes evaluados con contención física por agitación psicomotora. </t>
  </si>
  <si>
    <t xml:space="preserve"> ≥ 90%</t>
  </si>
  <si>
    <t>Porcentaje de pacientes identificados con brazalete que contenga datos mínimos de acuerdo a protocolo institucional en el servicio XX</t>
  </si>
  <si>
    <t xml:space="preserve">N° de pacientes hospitalizados evaluados, que se encuentran identificados con brazalete con datos mínimos obligatorios.  </t>
  </si>
  <si>
    <t>N° total de pacientes hospitalizados evaluados.</t>
  </si>
  <si>
    <t xml:space="preserve">N° de recién nacidos evaluados e identificados con brazalete con datos mínimos obligatorios.  </t>
  </si>
  <si>
    <t>N° total de recién nacidos  evaluados.</t>
  </si>
  <si>
    <t>Porcentaje de pacientes identificados con brazalete que contenga datos mínimos de acuerdo a protocolo institucional.</t>
  </si>
  <si>
    <t xml:space="preserve">N° de pacientes hospitalizados evaluados, que se encuentran identificados con brazalete con datos mínimos obligatorios. </t>
  </si>
  <si>
    <t xml:space="preserve">Porcentaje de pacientes identificados con brazalete que contenga datos mínimos de acuerdo a protocolo institucional, en el servicio de </t>
  </si>
  <si>
    <t xml:space="preserve">Porcentaje de recién nacidos identificados con brazalete que contenga datos mínimos de acuerdo a protocolo institucional en recién nacido de SAIP </t>
  </si>
  <si>
    <t>N° total de recién nacidos evaluados.</t>
  </si>
  <si>
    <t>TACO</t>
  </si>
  <si>
    <t>Porcentaje de pacientes con AC x FA en tratamiento anticoagulante que se encuentran en rango terapéutico optimo:   INR &gt; 2 y &lt; 3.</t>
  </si>
  <si>
    <t xml:space="preserve">Nº de pacientes con ACxFA  en tratamiento anticoagulante  que se encuentran con INR &gt; 2 y &lt; 3.    </t>
  </si>
  <si>
    <t>Nº total de pacientes con ACxFA en tratamiento anticoagulante</t>
  </si>
  <si>
    <t>N° de pacientes intervenidos evaluados y que cuentan con chequeo de seguridad aplicada de acuerdo a pauta.</t>
  </si>
  <si>
    <t xml:space="preserve">N° total de pacientes intervenidos evaluados. </t>
  </si>
  <si>
    <t>≥  90%</t>
  </si>
  <si>
    <t>Porcentaje de pacientes  intervenidos quirúrgicamente que cuentan  con chequeo de seguridad para intervención quirúrgica de acuerdo a procedimiento.</t>
  </si>
  <si>
    <t>Porcentaje de pacientes que cuentan con chequeo de seguridad para el procedimiento según protocolo vigente en la Unidad XXX</t>
  </si>
  <si>
    <t>N° de pacientes evaluados en la Unidad de Hemodinamia que cuentan con chequeo de seguridad aplicado de acuerdo a protocolo vigente.</t>
  </si>
  <si>
    <t xml:space="preserve">N° total de pacientes evaluados en la Unidad de Hemodinamia. </t>
  </si>
  <si>
    <t xml:space="preserve">GCL 2.2 </t>
  </si>
  <si>
    <t>Porcentaje de cumplimiento de los seis correctos en la administración de medicamentos en el servicio de XX</t>
  </si>
  <si>
    <t xml:space="preserve">Porcentaje de cumplimiento con riesgo moderado y alto de presentar lesion por presion (lpp) que se encuentran con medidas preventivas aplicadas de acuerdo a protocolo en upca </t>
  </si>
  <si>
    <t xml:space="preserve">N° total de paciente con riesgo moderado y alto de presentar l evaluados </t>
  </si>
  <si>
    <t xml:space="preserve">N° total de paciente con riesgo moderado y alto de presentar lpp evaluados </t>
  </si>
  <si>
    <t>Porcentaje de pacientes  en procedimiento endoscópico que cuentan con medidas preventivas en caídas.</t>
  </si>
  <si>
    <t>Porcentaje de pacientes en la Unidad de Cirugía Mayor Ambulatoria que cuentan con medidas preventivas en caídas.</t>
  </si>
  <si>
    <t>N° de pacientes post operados evaluados que cuentan con medidas preventivas en caídas</t>
  </si>
  <si>
    <t xml:space="preserve">N° total de pacientes post operados evaluados </t>
  </si>
  <si>
    <t xml:space="preserve">Porcentaje de cumplimiento de los seis correctos en la administración de medicamentos en el Sala de atención integral de parto (SAIP) </t>
  </si>
  <si>
    <t>N° de administración de medicamentos supervisados, que cumplen los seis correctos, según protocolo</t>
  </si>
  <si>
    <t>N° de administración de medicamentos supervisados.</t>
  </si>
  <si>
    <t xml:space="preserve">GCL 3.3 </t>
  </si>
  <si>
    <t>Porcentaje de cumplimiento de las precauciones estándar: Técnica de higiene de manos en el servicio de XXX</t>
  </si>
  <si>
    <t>N° de higiene de manos que cumple con la técnica según pauta de supervision.</t>
  </si>
  <si>
    <t>N° total de higiene de manos evaluada.</t>
  </si>
  <si>
    <t>N° de higiene de manos que cumple con la técnica según pauta de supervisión.</t>
  </si>
  <si>
    <t>QUIMIOTERAPIA</t>
  </si>
  <si>
    <t>UPCNEO-NEO</t>
  </si>
  <si>
    <t>N° total de higiene de manos evaluada en el período.</t>
  </si>
  <si>
    <t>SEO</t>
  </si>
  <si>
    <t>Porcentaje de cumplimiento de las precauciones estándar: Tecnica de Higiene de manos en Nefrologia y Diálisis</t>
  </si>
  <si>
    <t>N° de higiene de manos que cumple con la tecnica según pauta de supervisión</t>
  </si>
  <si>
    <t>Porcentaje de cumplimiento  de Antibioprofilaxis preoperatoria en pacientes sometidos a cirugías limpias de vigilancia obligatoria: cesárea, colecistectomía por laparotomía, colecistectomía por laparoscopía y hernioplastía inguinal de acuerdo a protocolo.</t>
  </si>
  <si>
    <t>Nº de pacientes quirúrgicos con cirugía limpia de vigilancia obligatorio  en que los que se administra ATB profilaxis  según pauta de supervisión</t>
  </si>
  <si>
    <t>Nº total de pacientes quirúrgicos con cirugía  limpia  de vigilancia obligatorio  evaluados en ATB profilaxis</t>
  </si>
  <si>
    <t>Porcentaje de cumplimiento  de Antibioprofilaxis preoperatoria en pacientes sometidos a cirugías limpias de vigilancia obligatoria: colecistectomía por laparotomía, colecistectomía por laparoscopía y hernioplastía inguinal, cataratas, de acuerdo a protocolo.</t>
  </si>
  <si>
    <t>Porcentaje de cumplimiento de las precauciones estándar: Técnica de higiene de manos en la Unidad de Hemato Oncologia</t>
  </si>
  <si>
    <t>Porcentaje de cumplimiento de las precauciones estándar: Técnica de higiene de manos en la Unidad de Hemodinamia.</t>
  </si>
  <si>
    <t>N° de higiene de manos que cumple con la técnica según pauta de supervision</t>
  </si>
  <si>
    <t xml:space="preserve">Porcentaje de cumplimiento del procedimiento tacto vaginal en sala de atención integral de parto (SAIP), según lo descrito en la normativa. </t>
  </si>
  <si>
    <t xml:space="preserve">Porcentaje de pacientes adultos categorizados en el servicio de urgencia. </t>
  </si>
  <si>
    <t xml:space="preserve">Nº de pacientes adultos – pediátricos consultantes categorizados por el Selector de demanda ESI </t>
  </si>
  <si>
    <t>Nº total de pacientes que consultan en la UEH en el periodo</t>
  </si>
  <si>
    <t xml:space="preserve">Porcentaje de pacientes categorizados en el servicio de urgencia. </t>
  </si>
  <si>
    <t xml:space="preserve">Nº de pacientes pediátricos consultantes categorizados por el Selector de demanda ESI </t>
  </si>
  <si>
    <t>Porcentaje de pacientes gineco – obstétricos categorizados en el servicio de urgencia.</t>
  </si>
  <si>
    <t>N° de pacientes gineco obstétrico consultantes y que son categorizadas en el servicio de urgencia gineco obstétrica.</t>
  </si>
  <si>
    <t xml:space="preserve">N° total de pacientes gineco obstétrico  consultantes en la Unidad   de urgencia gineco obstétrica   </t>
  </si>
  <si>
    <t>≥  95%</t>
  </si>
  <si>
    <t xml:space="preserve">AOC 1.3 </t>
  </si>
  <si>
    <t>LABORATORIO</t>
  </si>
  <si>
    <t>Porcentaje de notificacion de resultados críticos a los servicios pertenecientes a la atención cerrada, de acuerdo al procedimiento.</t>
  </si>
  <si>
    <t>N° total de resultados críticos notificados a los servicios de la Atención cerrada, durante el trimestre.</t>
  </si>
  <si>
    <t>CITOPATOLOGIA</t>
  </si>
  <si>
    <t>Porcentaje de notificación de resultados críticos de Anatomía Patológica y citología de acuerdo a procedimiento: a más tardar al día hábil siguiente en horario hábil.</t>
  </si>
  <si>
    <t>N° total de resultados críticos notificados</t>
  </si>
  <si>
    <t>LABORATORIO ANATOMÍA PATOLOGICA</t>
  </si>
  <si>
    <t>Porcentaje de notificaciones de hallazgos críticos de acuerdo al protocolo descrito vigente</t>
  </si>
  <si>
    <t>Nº de hallazgos críticos  notificados dentro del plazo establecido en el protocolo durante el período</t>
  </si>
  <si>
    <t>Nº total de hallazgos críticos notificados durante el período</t>
  </si>
  <si>
    <t xml:space="preserve">RH 4.3 </t>
  </si>
  <si>
    <t>Porcentaje de trabajadores expuestos  y que han sido vacunados contra la hepatitis B</t>
  </si>
  <si>
    <t>SEMESTRAL</t>
  </si>
  <si>
    <t xml:space="preserve">REG 1.2 </t>
  </si>
  <si>
    <t>N° de consultas de atención ambulatoria espontanea que cuentan con datos mínimos de acuerdo al protocolo en el servicio de especialidades odontológicas (SEO)</t>
  </si>
  <si>
    <t>Porcentaje de epicrisis que cumplen con datos mínimos de acuerdo a protocolo en el servicio de Cirugía.</t>
  </si>
  <si>
    <t>N° de epicrisis evaluadas del servicio de cirugía que cumplen con requisitos mínimo de acuerdo al protocolo.</t>
  </si>
  <si>
    <t>N° total de epicrisis del servicio de cirugía evaluadas.</t>
  </si>
  <si>
    <t>N° de epicrisis evaluadas del servicio de especialidades médicas que cumplen con los requisitos mínimos de acuerdo a protocolo.</t>
  </si>
  <si>
    <t xml:space="preserve">N° total de epicrisis evaluadas. </t>
  </si>
  <si>
    <t>N° de Informes de procedimientos evaluados que cuentan con datos mínimo de acuerdo al protocolo institucional</t>
  </si>
  <si>
    <t>Porcentaje de epicrisis que cumplen con datos mínimos de acuerdo a protocolo institucional en el servicio de Medicina 1.</t>
  </si>
  <si>
    <t>N° de epicrisis evaluadas del servicio de Medicina 1 que cumplen con los requisitos mínimos de acuerdo a protocolo</t>
  </si>
  <si>
    <t>N° total de epicrisis del servicio de Medicina 1 evaluadas.</t>
  </si>
  <si>
    <t>Porcentaje de epicrisis que cumplen con datos mínimos de acuerdo a protocolo institucional en el servicio de Medicina 2.</t>
  </si>
  <si>
    <t>N° de epicrisis evaluadas del servicio de Medicina 2 que cumplen con los requisitos mínimos de acuerdo a protocolo</t>
  </si>
  <si>
    <t>N° total de epicrisis del servicio de Medicina 2 evaluadas.</t>
  </si>
  <si>
    <t>Porcentaje de epicrisis que cumplen con datos mínimos de acuerdo a protocolo institucional en el servicio de GO</t>
  </si>
  <si>
    <t>N° de epicrisis evaluadas del servicio de Obstetricia y Ginecología que cumplen con los requisitos mínimos de acuerdo a protocolo</t>
  </si>
  <si>
    <t>N° total de epicrisis del servicio de X  evaluadas.</t>
  </si>
  <si>
    <t xml:space="preserve">Porcentaje de protocolos operatorios  que cumplen con datos mínimos de acuerdo a lo descrito en protocolo institucional.  </t>
  </si>
  <si>
    <t xml:space="preserve">Porcentaje de epicrisis que cumplen con datos mínimos de acuerdo a protocolo institucional en el servicio de Pediatría. </t>
  </si>
  <si>
    <t xml:space="preserve">N° de epicrisis evaluadas del servicio de Pediatría  que cumplen con los requisitos mínimos de acuerdo a protocolo </t>
  </si>
  <si>
    <t xml:space="preserve">N° total de epicrisis del servicio de Pediatría evaluadas  </t>
  </si>
  <si>
    <t>Porcentaje de epicrisis que cumplen con datos mínimos de acuerdo a protocolo en el servicio de Pensionado.</t>
  </si>
  <si>
    <t>N° de epicrisis evaluadas del servicio de Pensionado que cumplen con los requisitos mínimos de acuerdo a protocolo.</t>
  </si>
  <si>
    <t xml:space="preserve">N° total de epicrisis del servicio de Pensionado evaluadas.  </t>
  </si>
  <si>
    <t>Porcentaje de epicrisis que cumplen con datos mínimos de acuerdo a protocolo institucional en la Unidad Paciente Crítico Adulto (UPCA).</t>
  </si>
  <si>
    <t>N° de epicrisis evaluadas de la UPCA que cumplen con los requisitos mínimos de acuerdo a protocolo.</t>
  </si>
  <si>
    <t>Porcentaje de epicrisis que cumplen con datos mínimos de acuerdo a protocolo institucional en la Unidad de Paciente Critico Coronario (UPCC).</t>
  </si>
  <si>
    <t>N° de epicrisis evaluadas en la UHI que cumplen con los requisitos mínimos de acuerdo a protocolo.</t>
  </si>
  <si>
    <t>N° total de epicrisis de la UPCC evaluadas.</t>
  </si>
  <si>
    <t>Porcentaje de epicrisis que cumplen con datos mínimos de acuerdo a protocolo institucional en la Unidad Hemoto-oncologia.</t>
  </si>
  <si>
    <t>N° total de epicrisis de la UHIevaluadas.</t>
  </si>
  <si>
    <t>Porcentaje de cumplimiento de contenidos mínimos en el registro del Dato de Atención de Urgencia Gineco- Obstétrica (llenados por médico y/o matrona).</t>
  </si>
  <si>
    <t>N° de DAU que cumplen con los requisitos mínimos en el periodo</t>
  </si>
  <si>
    <t>N° total de DAU revisados en el periodo.</t>
  </si>
  <si>
    <t>N° de DAU de pacientes atendidos en urgencia que cumplen con los requisitos mínimos en el periodo.</t>
  </si>
  <si>
    <t xml:space="preserve">Porcentaje de protocolo de parto que cumplen con datos mínimos de acuerdo con protocolo en Sala de atención integral de parto (SAIP) </t>
  </si>
  <si>
    <t>N° de protocolo de parto evaluadas en SAIP que cumplen con los requisitos mínimos de acuerdo con protocolo.</t>
  </si>
  <si>
    <t>N° total de protocolo de parto en SAIP evaluadas.</t>
  </si>
  <si>
    <t xml:space="preserve">REG 1.3 </t>
  </si>
  <si>
    <t>Porcentaje de pacientes hospitalizados en  la Unidad de Cirugía Mayor Ambulatoria (UCMA) que egresan con carnet de alta.</t>
  </si>
  <si>
    <t>Nº de pacientes que egresan de la UCMA con carnet de alta.</t>
  </si>
  <si>
    <t xml:space="preserve">Nº total de pacientes egresados de la UCMA. </t>
  </si>
  <si>
    <t xml:space="preserve">Porcentaje de pacientes ambulatorios que egresan de la Unidad de endoscopia con informe al alta: entrega de tríptico e informe médico. </t>
  </si>
  <si>
    <t xml:space="preserve">Nº de pacientes ambulatorios que egresan de la Unidad de endoscopia con informe al alta. </t>
  </si>
  <si>
    <t xml:space="preserve">Nº total de pacientes ambulatorios egresados de la Unidad de endoscopia.                                                                </t>
  </si>
  <si>
    <t>Porcentaje de pacientes que al momento del alta, reciben su epicrisis medica de acuerdo a protocolo en el Hospital Modular</t>
  </si>
  <si>
    <t xml:space="preserve">Nº de pacientes que al momento del alta reciben su epicrisis   de acuerdo al protocolo en el servicio de cirugía  </t>
  </si>
  <si>
    <t xml:space="preserve">Nº total de pacientes de alta en el servicio de Cirugía  </t>
  </si>
  <si>
    <t xml:space="preserve">Porcentaje de pacientes que al momento del alta, reciben su epicrisis medica de acuerdo a protocolo </t>
  </si>
  <si>
    <t xml:space="preserve">Nº de pacientes que al momento del alta reciben su epicrisis   de acuerdo al protocolo </t>
  </si>
  <si>
    <t>Nº total de pacientes del alta</t>
  </si>
  <si>
    <t xml:space="preserve">Porcentaje de pacientes ambulatorios sometidos a Coronariografía en la Unidad de Hemodinamia  que egresan con informe de la prestación realizada: Tríptico e informe médico.  </t>
  </si>
  <si>
    <t>Porcentaje de pacientes ambulatorios sometidos a procedimientos imagenológicos intervencionales que reciben indicaciones post examen.</t>
  </si>
  <si>
    <t>N° de pacientes ambulatorios que se realizaron procedimientos imagenológicos intervencionales y que se retiran con indicaciones post examen de acuerdo a protocolo.</t>
  </si>
  <si>
    <t>N° total de pacientes ambulatorios que se realizaron procedimientos imagenológicos intervencionales</t>
  </si>
  <si>
    <t xml:space="preserve">Porcentaje de pacientes que al momento del alta, reciben su epicrisis medica de acuerdo a protocolo en el servicio de Medicina 1 </t>
  </si>
  <si>
    <t>Nº de pacientes que al momento del alta reciben su epicrisis   de acuerdo al protocolo en el servicio de Medicina 1</t>
  </si>
  <si>
    <t>Nº total de pacientes del alta en el servicio de Medicina 1</t>
  </si>
  <si>
    <t>Porcentaje de pacientes que al momento del alta, reciben su epicrisis medica de acuerdo a protocolo en el servicio de Medicina 2</t>
  </si>
  <si>
    <t>Nº de pacientes que al momento del alta reciben su epicrisis   de acuerdo al protocolo en el servicio de Medicina 2</t>
  </si>
  <si>
    <t>Nº total de pacientes del alta en el servicio de Medicina 2</t>
  </si>
  <si>
    <t xml:space="preserve">Porcentaje de pacientes que al momento del alta, reciben su epicrisis medica de acuerdo a protocolo en el servicio de Pediatria  </t>
  </si>
  <si>
    <t xml:space="preserve">Nº de pacientes que al momento del alta reciben su epicrisis   de acuerdo al protocolo en el servicio de Pediatria </t>
  </si>
  <si>
    <t xml:space="preserve">Nº total de pacientes del alta en el servicio de Pediatria </t>
  </si>
  <si>
    <t>Porcentaje de pacientes que finalizan su primer ciclo de quimioterapia y se retiran con informe de alta de acuerdo a protocolo</t>
  </si>
  <si>
    <t xml:space="preserve">Nº de pacientes que finalizan su primer ciclo de tratamiento quimioterápico y que reciben informe de alta de acuerdo a pauta de cotejo. </t>
  </si>
  <si>
    <t xml:space="preserve">Porcentaje de pacientes que al momento del alta, reciben su epicrisis medica de acuerdo a protocolo en U. Hemato-oncologia </t>
  </si>
  <si>
    <t>Nº de pacientes que al momento del alta reciben su epicrisis   de acuerdo al protocolo en UHI</t>
  </si>
  <si>
    <t>Nº total de pacientes del alta en UHI</t>
  </si>
  <si>
    <t>Porcentaje de pacientes egresados de Neonatología (UPCN) con epicrisis medica de acuerdo a protocolo.</t>
  </si>
  <si>
    <t>Nº de pacientes que egresan de Neonatología (UPCN) con epicrisis medica de acuerdo a protocolo.</t>
  </si>
  <si>
    <t xml:space="preserve">Nº total de pacientes egresados de Neonatología. </t>
  </si>
  <si>
    <t xml:space="preserve">Porcentaje de pacientes que al momento del alta que egresan de la  sala de observación con DAU de acuerdo a protocolo en el servicio de urgencia </t>
  </si>
  <si>
    <t xml:space="preserve">N° de pacientes que egresan de la sala de observación adulto  con DAU de acuerdo a protocolo en el servicio de urgencia </t>
  </si>
  <si>
    <t>N° total de pacientes que egresan de la sala de observación adulto  del servicio de urgencia.</t>
  </si>
  <si>
    <t xml:space="preserve">N° de pacientes que egresan de la sala de observación  pediátrico con DAU de acuerdo a protocolo en el servicio de urgencia </t>
  </si>
  <si>
    <t>N° total de pacientes que egresan de la sala de observación pediátrico del servicio de urgencia.</t>
  </si>
  <si>
    <t>Porcentaje de pacientes que egresan del servicio de Urgencia gineco obstétrica con DAU con contenidos mínimos de acuerdo a protocolo.</t>
  </si>
  <si>
    <t>N° de pacientes que egresan del servicio de urgencia gineco obstétrica con DAU con requisitos mínimos de acuerdo a protocolo.</t>
  </si>
  <si>
    <t>N° total de pacientes que egresan del servicio de urgencia gineco obstétrica.</t>
  </si>
  <si>
    <t xml:space="preserve">Porcentaje de pacientes  que reciben atención dental de urgencia y que egresan con informe de prestación realizada: informe de atención de urgencia con el contenido mínimo y firma de recepción del usuario </t>
  </si>
  <si>
    <t xml:space="preserve">REG 1.4 </t>
  </si>
  <si>
    <t>Porcentaje de fichas entregadas oportunamente a pacientes ingresados a atencion cerrada (hospitalizados).</t>
  </si>
  <si>
    <t>N° de Fichas clínicas entregadas desde unidad de archivo a atencion cerrada</t>
  </si>
  <si>
    <t>N° de Fichas Clínicas solicitadas por atencion cerrada en el dia evaluado</t>
  </si>
  <si>
    <t>Porcentaje de muestras de laboratorio provenientes del servicio  de cardiología que son rechazadas en el laboratorio clínico.</t>
  </si>
  <si>
    <t>N° de muestras de laboratorio provenientes del servicio de cardiología y que son rechazadas</t>
  </si>
  <si>
    <t>N° total de muestras de laboratorio provenientes del servicio de cardiología que son recepcionadas en Laboratorio</t>
  </si>
  <si>
    <t>≤ 1%</t>
  </si>
  <si>
    <t>Porcentaje de muestras de laboratorio provenientes del servicio  de Medicina 1 que son rechazadas en el laboratorio clínico.</t>
  </si>
  <si>
    <t>N° de muestras de laboratorio provenientes del servicio de Medicina 1 y que son rechazadas</t>
  </si>
  <si>
    <t>N° total de muestras de laboratorio provenientes del servicio de Medicina 1 que son recepcionadas en Laboratorio</t>
  </si>
  <si>
    <t>Porcentaje de muestras de laboratorio provenientes del servicio  de Medicina 2 que son rechazadas en el laboratorio clínico.</t>
  </si>
  <si>
    <t>N° de muestras de laboratorio provenientes del servicio de Medicina 2 y que son rechazadas</t>
  </si>
  <si>
    <t>N° total de muestras de laboratorio provenientes del servicio de Medicina 2 que son recepcionadas en Laboratorio</t>
  </si>
  <si>
    <t>Porcentaje de muestras de laboratorio provenientes del servicio  de Pediatría que son rechazadas en el laboratorio clínico.</t>
  </si>
  <si>
    <t>N° de muestras de laboratorio provenientes del servicio de Pediatría y que son rechazadas</t>
  </si>
  <si>
    <t>N° total de muestras de laboratorio provenientes del servicio de Pediatría que son recepcionadas en Laboratorio</t>
  </si>
  <si>
    <t>TOMA DE MUESTRAS</t>
  </si>
  <si>
    <t>Porcentaje de muestras de laboratorio provenientes de la Unidad de Toma de Muestra que son rechazadas en el laboratorio clínico</t>
  </si>
  <si>
    <t>N° de muestras de laboratorio provenientes de la Unidad de Toma de Muestra y que son rechazadas</t>
  </si>
  <si>
    <t>N° total de muestras de laboratorio provenientes de la Unidad de Toma de Muestra que son recepcionadas en el Laboratorio</t>
  </si>
  <si>
    <t>Porcentaje de muestras de laboratorio provenientes de la Unidad de cuidados intensivos neonatal (UCIN) que son rechazadas en el laboratorio clínico.</t>
  </si>
  <si>
    <t>N° de muestras de laboratorio provenientes de UCIN y que son recepcionadas en Laboratorio y son rechazadas</t>
  </si>
  <si>
    <t>N° total de muestras de laboratorio recepcionadas provenientes de UCIN</t>
  </si>
  <si>
    <t xml:space="preserve"> ≤ 4%</t>
  </si>
  <si>
    <t>Porcentaje de muestras de laboratorio provenientes de la Unidad de paciente crítico adulto (UPCA) que son rechazadas en el laboratorio clínico</t>
  </si>
  <si>
    <t>N° de muestras de laboratorio provenientes de UPCA y que son rechazadas</t>
  </si>
  <si>
    <t>N° total de muestras de laboratorio provenientes de UPCA que son recepcionadas en el Laboratorio</t>
  </si>
  <si>
    <t>Porcentaje de muestras de laboratorio provenientes de la Unidad de paciente crítico coronario (UPCC) que son rechazadas en el laboratorio clínico.</t>
  </si>
  <si>
    <t>N° de muestras de laboratorio provenientes de UPCC y que son rechazadas</t>
  </si>
  <si>
    <t>N° total de muestras de laboratorio provenientes de UPCC que son recepcionadas en el Laboratorio</t>
  </si>
  <si>
    <t>Porcentaje de muestras de laboratorio provenientes de la Unidad Hemato-oncologia (UHI) que son rechazadas en el laboratorio clínico.</t>
  </si>
  <si>
    <t>N° de muestras de laboratorio provenientes de UHI y que son rechazadas</t>
  </si>
  <si>
    <t>N° total de muestras de laboratorio provenientes de UHI que son recepcionadas en el Laboratorio</t>
  </si>
  <si>
    <t>Porcentaje de muestras de laboratorio provenientes de la Unidad de tratamiento intermedio pediátrico (UTIP) que son rechazadas en el laboratorio clínico.</t>
  </si>
  <si>
    <t>N° de muestras de laboratorio provenientes de UTIP y que son rechazadas</t>
  </si>
  <si>
    <t>N° total de muestras de laboratorio provenientes de UTIP que son recepcionadas en el Laboratorio</t>
  </si>
  <si>
    <t>Porcentaje de muestras de laboratorio provenientes del servicio  de Urgencia que son rechazadas en el laboratorio clínico.</t>
  </si>
  <si>
    <t>N° de muestras de laboratorio provenientes del servicio de Urgencia y que son rechazadas</t>
  </si>
  <si>
    <t>N° total de muestras de laboratorio provenientes del servicio de Urgencia que son recepcionadas en el Laboratorio</t>
  </si>
  <si>
    <t>Porcentaje de muestras de laboratorio provenientes de la Urgencia Gineco-obstetrica (UGO) que son rechazadas en el laboratorio clínico.</t>
  </si>
  <si>
    <t>N° de muestras de laboratorio provenientes de UGO y que son rechazadas</t>
  </si>
  <si>
    <t>N° total de muestras de laboratorio provenientes de UGO que son recepcionadas en el Laboratorio</t>
  </si>
  <si>
    <t xml:space="preserve">APL 1.3 </t>
  </si>
  <si>
    <t>BIOQUIMICA</t>
  </si>
  <si>
    <t>HEMATOLOGIA</t>
  </si>
  <si>
    <t>MICROBIOLOGIA</t>
  </si>
  <si>
    <t xml:space="preserve">Porcentaje de tinciones de Gram de LCR de las unidades criticas informados en un periodo ≤ a 120 minutos </t>
  </si>
  <si>
    <t>Nª de tincion de Gram de LCR de las unidades criticas informados en un tiempo ≤ a 120 minutos</t>
  </si>
  <si>
    <t>Nª total de tinciones de Gram de LCR  de las unidades criticas realizados</t>
  </si>
  <si>
    <t>FARMACIA ATENCION ABIERTA</t>
  </si>
  <si>
    <t xml:space="preserve">Porcentaje de recetas (Rp) de farmacia atencion abierta (FAA) correctamente dispensadas según procedimeinto de despacho de medicamentos. </t>
  </si>
  <si>
    <t>Numero de recetas correctamente dispensadas que cumplen con los parámetros de seguridad</t>
  </si>
  <si>
    <t>Numero total de recetas dispensadas evaluadas en el período</t>
  </si>
  <si>
    <t xml:space="preserve">APF 1.5 </t>
  </si>
  <si>
    <t>Porcentaje de cumplimiento de los datos exigibles requeridos para la devolución de medicamentos desde los servicios/unidades clínicas a la Farmacia de Atención Cerrada</t>
  </si>
  <si>
    <t>N° de devolución de fármacos que cumplen con los datos exigibles descritos en el documento</t>
  </si>
  <si>
    <t>Nº total de devolucion de fármacos</t>
  </si>
  <si>
    <t xml:space="preserve">APF 1.6 </t>
  </si>
  <si>
    <t>Unidad centralizada de manipulación de medicamentos estériles y neoplásicos (UCMME).</t>
  </si>
  <si>
    <t>Porcentaje de preparaciones antineoplásicas rotuladas correctamente de acuerdo a protocolo</t>
  </si>
  <si>
    <t xml:space="preserve">Número de preparaciones antineoplásicas rotuladas correctamente de acuerdo a protocolo. </t>
  </si>
  <si>
    <t>Número de preparaciones antineoplásicas evaluadas.</t>
  </si>
  <si>
    <t xml:space="preserve">APF 1.7 </t>
  </si>
  <si>
    <t>≥ 95 %</t>
  </si>
  <si>
    <t xml:space="preserve">APE 1.3 </t>
  </si>
  <si>
    <t>ESTERILIZACION</t>
  </si>
  <si>
    <t>Porcentaje de lavado manual de instrumental realizado según protocolo del estableicmiento</t>
  </si>
  <si>
    <t>N° de lavado manual de instrumental realizados que cumplen según protocolo del establecimiento</t>
  </si>
  <si>
    <t>N° lavado manual de instrumental supervisados</t>
  </si>
  <si>
    <t>Porcentaje de inspección de instrumental quirúrgico realizado según protocolo del establecimiento</t>
  </si>
  <si>
    <t xml:space="preserve">APE 1.4 </t>
  </si>
  <si>
    <t>Porcentaje de cumplimiento de almacenamiento de material estéril en el servicio de Esterilización.</t>
  </si>
  <si>
    <t>N° de almacenamientos de material estéril observados que cumplen con atributos de la pauta en el servicio de Esterilización.</t>
  </si>
  <si>
    <t>N° total almacenamientos de material estéril observados en el servicio de Esterilización.</t>
  </si>
  <si>
    <t>Porcentaje de cumplimiento de almacenamiento de material estéril en el servicio de Cirugía.</t>
  </si>
  <si>
    <t>N° de almacenamientos de material estéril observados que cumplen con atributos de la pauta en el servicio de Cirugía.</t>
  </si>
  <si>
    <t>N° total almacenamientos de material estéril observados en el servicio de Cirugía.</t>
  </si>
  <si>
    <t xml:space="preserve">Porcentaje de cumplimiento de almacenamiento de material estéril en el servicio de Medicina. </t>
  </si>
  <si>
    <t>N° de almacenamientos de material estéril observados que cumplen con atributos de la pauta en el servicio de Medicina</t>
  </si>
  <si>
    <t>N° total almacenamientos de material estéril observados en el servicio de Medicina.</t>
  </si>
  <si>
    <t xml:space="preserve">Porcentaje de cumplimiento de almacenamiento de material estéril en el servicio de Pensionado. </t>
  </si>
  <si>
    <t>N° de almacenamientos de material estéril observados que cumplen con atributos de la pauta en el servicio de Pensionado.</t>
  </si>
  <si>
    <t>N° total almacenamientos de material estéril observados en el servicio de Pensionado.</t>
  </si>
  <si>
    <t xml:space="preserve">Porcentaje de cumplimiento de almacenamiento de material estéril en el servicio de Pabellón. </t>
  </si>
  <si>
    <t>N° de almacenamientos de material estéril observados que cumplen con atributos de la pauta en el servicio de Pabellón.</t>
  </si>
  <si>
    <t>N° total almacenamientos de material estéril observados en el servicio de Pabellón.</t>
  </si>
  <si>
    <t>Porcentaje de cumplimiento de almacenamiento de material estéril en U. de Hemodinamia</t>
  </si>
  <si>
    <t>N° de almacenamientos de material estéril observados que cumplen con atributos de la pauta en U. de Hemodinamia</t>
  </si>
  <si>
    <t>N° total almacenamientos de material estéril observados en U. de Hemodinamia</t>
  </si>
  <si>
    <t xml:space="preserve">Porcentaje de cumplimiento de almacenamiento de material estéril en la Unidad de Cirugía Mayor Ambulatoria (UCMA). </t>
  </si>
  <si>
    <t>N° de almacenamientos de material estéril observados que cumplen con atributos de la pauta en UCMA.</t>
  </si>
  <si>
    <t>N° total almacenamientos de material estéril observados en UCMA</t>
  </si>
  <si>
    <t xml:space="preserve">Porcentaje de cumplimiento de almacenamiento de material estéril en la Unidad de Paciente Crítico Adulto (UPCA). </t>
  </si>
  <si>
    <t>N° de almacenamientos de material estéril observados que cumplen con atributos de la pauta en UPCA.</t>
  </si>
  <si>
    <t>N° total almacenamientos de material estéril observados en UPCA.</t>
  </si>
  <si>
    <t xml:space="preserve">Porcentaje de cumplimiento de almacenamiento de material estéril en la Unidad de Paciente Crítico Coronario Adulto (UPCC). </t>
  </si>
  <si>
    <t>N° de almacenamientos de material estéril observados que cumplen con atributos de la pauta en UPCC.</t>
  </si>
  <si>
    <t>N° total almacenamientos de material estéril observados en UPCC.</t>
  </si>
  <si>
    <t xml:space="preserve">Porcentaje de cumplimiento de almacenamiento de material estéril en la Unidad de Paciente Crítico Neonatal (UPCN). </t>
  </si>
  <si>
    <t>N° de almacenamientos de material estéril observados que cumplen con atributos de la pauta en UPCN.</t>
  </si>
  <si>
    <t>N° total almacenamientos de material estéril observados en UPCN.</t>
  </si>
  <si>
    <t xml:space="preserve">Porcentaje de cumplimiento de almacenamiento de material estéril en la Unidad de Tratamiento Intensivo Pediátrico (UTIP). </t>
  </si>
  <si>
    <t>N° de almacenamientos de material estéril observados que cumplen con atributos de la pauta en UTIP.</t>
  </si>
  <si>
    <t>N° total almacenamientos de material estéril observados en UTIP.</t>
  </si>
  <si>
    <t>Porcentaje de cumplimiento de almacenamiento de material estéril en la Unidad de Hemato-oncologia</t>
  </si>
  <si>
    <t>N° de almacenamientos de material estéril observados que cumplen con atributos de la pauta en Unidad de Hemato-oncologia</t>
  </si>
  <si>
    <t>N° total almacenamientos de material estéril observados en Unidad de Hemato-oncologia</t>
  </si>
  <si>
    <t xml:space="preserve">Porcentaje de cumplimiento de almacenamiento de material estéril en el servicio de Sala de atención parto Integral </t>
  </si>
  <si>
    <t>N° de almacenamientos de material estéril observados que cumplen con atributos de la pauta en SAIP</t>
  </si>
  <si>
    <t>N° total almacenamientos de material estéril observados en SAIP</t>
  </si>
  <si>
    <t>Total de Endoscopios evaluados sometidos a DAN.</t>
  </si>
  <si>
    <t xml:space="preserve">APD 1.2 </t>
  </si>
  <si>
    <t>HEMODIALISIS</t>
  </si>
  <si>
    <t>Porcentaje de conexiones de catéter de hemodiálisis (CHD) que cumpla con lo definido en el protocolo institucional</t>
  </si>
  <si>
    <t>N° total de procedimientos de CHD ejecutadas en el período</t>
  </si>
  <si>
    <t>PERITONEODIALISIS</t>
  </si>
  <si>
    <t>Porcentaje de educaciones realizadas a pacientes que ingresan a peritoneodialisis de acuerdo a programa de capacitación institucional para prevenir infecciones</t>
  </si>
  <si>
    <t xml:space="preserve">APA 1.2 </t>
  </si>
  <si>
    <t>Porcentaje de citología ginecológica y genotipificación de VPH rechazadas por Citopatología que son recepcionadas.</t>
  </si>
  <si>
    <t xml:space="preserve">N° de citología ginecológica y genotipificación de VPH recepcionadas y que fueron rechazadas según criterios de rechazo   </t>
  </si>
  <si>
    <t xml:space="preserve">N° total de citología ginecológica y genotipificación de VPH recepcionadas en el mismo periodo de tiempo </t>
  </si>
  <si>
    <t>≤ 2%</t>
  </si>
  <si>
    <t>Porcentaje de placas de citología ginecológica con re-screening diagnóstico</t>
  </si>
  <si>
    <t>N° de placas de citologia ginecológica con re-screening</t>
  </si>
  <si>
    <t xml:space="preserve">N° total de placas de citologia ginecológica con re-screening diagnostico </t>
  </si>
  <si>
    <t>≤25%</t>
  </si>
  <si>
    <t>Porcentaje de pacientes que cumplen con la administración de premediación según protocolo para antineoplástico de alto riesgo (Oxaliplatino) en quimioterapia ambulatoria.</t>
  </si>
  <si>
    <t xml:space="preserve">N° de pacientes que reciben premediación para antineoplasico de alto riesgo (oxaliplatino).                      </t>
  </si>
  <si>
    <t>N° total de pacientes con antineoplasico de alto riesgo.</t>
  </si>
  <si>
    <t>Porcentaje de pacientes hospitalizados que cumplen con la administración de premediación según protocolo para anticuerpo monoclonal de alto riesgo (Rituximab)</t>
  </si>
  <si>
    <t xml:space="preserve">N° pacientes hospitalizados que reciben premedicación para anticuerpo monoclonal de alto riesgo (Rituximab) según protocolo  </t>
  </si>
  <si>
    <t>N° total de pacientes hospitalizados anticuerpo monoclonal de alto riesgo con Rituximab</t>
  </si>
  <si>
    <t xml:space="preserve">Porcentaje cumplimiento en la disposición de eliminación de residuos antineoplásicos en servicio Cirugia </t>
  </si>
  <si>
    <t>N° de procedimientos de eliminación  de residuos antineoplásicos  en el servicio de Cirugia  según procedimiento</t>
  </si>
  <si>
    <t>N° de  total de procedimientos de  eliminación  de residuos antineoplásicos en servicio medicina  evaluados en el periodo.</t>
  </si>
  <si>
    <t>Porcentaje cumplimiento en la disposición de eliminación de residuos antineoplásicos en servicios clínicos.</t>
  </si>
  <si>
    <t xml:space="preserve">N° de procedimientos de eliminación de residuos antineoplásicos en el servicio de medicina 1 según procedimiento. </t>
  </si>
  <si>
    <t>N° de  total de procedimientos de de eliminación  de residuos antineoplásicos.</t>
  </si>
  <si>
    <t xml:space="preserve">N° de procedimientos de eliminación de residuos antineoplásicos en el servicio de medicina 2 según procedimiento. </t>
  </si>
  <si>
    <t>Porcentaje cumplimiento en el manejo de drogas citotóxicas (bevacizumab-avastin®) de uso oftalmológico en Policlínico Oftalmología.</t>
  </si>
  <si>
    <t>Porcentaje cumplimiento en la disposición de eliminación de residuos antineoplásicos en servicios clínicos</t>
  </si>
  <si>
    <t xml:space="preserve">N° de procedimientos de eliminación  de residuos antineoplásicos  en el servicio de  Obstetricia y Ginecología   según procedimiento. </t>
  </si>
  <si>
    <t>N° de  total de procedimientos de de eliminación  de residuos antineoplásicos en servicio  Obstetricia y Ginecología   evaluados en el periodo.</t>
  </si>
  <si>
    <t>Porcentaje cumplimiento en el manejo de drogas citotóxicas (bevacizumab-avastin® y mitomicina) de uso oftalmológico en Pabellón.</t>
  </si>
  <si>
    <t>N° de procedimientos de manejo de drogas citotóxicas de administración intravitrea en Pabellón, que cumplen con el procedimiento institucional (bevacizumab-avastin®, mitomicina).</t>
  </si>
  <si>
    <t>N° de procedimientos de manejo de drogas citotóxicas de administración intravitrea en Pabellón, evaluados en el periodo.</t>
  </si>
  <si>
    <t xml:space="preserve">N° de procedimientos de eliminación  de residuos antineoplásicos  en el servicio de pensionados  según procedimiento. </t>
  </si>
  <si>
    <t>N° de  total de procedimientos de de eliminación  de residuos antineoplásicos en servicio Pensionado  evaluados en el periodo.</t>
  </si>
  <si>
    <t xml:space="preserve">N° de procedimientos de eliminación  de residuos antineoplásicos  en el servicio de medicina  según procedimiento. </t>
  </si>
  <si>
    <t>N° de  total de procedimientos de  eliminación  de residuos antineoplásicos en UPCA  evaluados en el periodo.</t>
  </si>
  <si>
    <t>Porcentaje de procedimientos en los cuales se administra medicamentos antineoplásicos, de acuerdo a protocolo en la unidad de quimioterapia.</t>
  </si>
  <si>
    <t xml:space="preserve">N° de procedimientos de administración de  medicamentos antineoplásicos por catéter venoso, de acuerdo a protocolo en la unidad de quimioterapia.                         </t>
  </si>
  <si>
    <t xml:space="preserve">N° total de procedimientos evaluados que se les administran medicamentos antineoplásicos por catéter venoso en la unidad de quimioterapia. </t>
  </si>
  <si>
    <t xml:space="preserve">Porcentaje de procedimientos en los cuales se administra medicamentos antineoplásicos, de acuerdo a protocolo </t>
  </si>
  <si>
    <t xml:space="preserve">N° de procedimientos de administración de  medicamentos antineoplásicos por catéter venoso, de acuerdo a protocolo               </t>
  </si>
  <si>
    <t>N° total de procedimientos evaluados que se les administran medicamentos antineoplásicos por catéter venoso</t>
  </si>
  <si>
    <t xml:space="preserve">N° de procedimientos de eliminación  de residuos antineoplásicos  en el servicio de  Especialidades medicas  según procedimiento. </t>
  </si>
  <si>
    <t>N° de  total de procedimientos de de eliminación  de residuos antineoplásicos en servicio  Especialidades medicas   evaluados en el periodo.</t>
  </si>
  <si>
    <t>Porcentaje de pacientes sometidos a Coronariografía (CNG) y angioplastia coronaria percutánea (ACTP) con medio de contraste intracoronario que se les aplicó pauta de chequeo de seguridad</t>
  </si>
  <si>
    <t xml:space="preserve">N° de pacientes sometidos a  CNG y ACTP  con medio de contraste intracoronario a los que se les aplicó chequeo de seguridad.                          </t>
  </si>
  <si>
    <t xml:space="preserve">N° de pacientes sometidos a TAC con uso de medio de contraste EV a los que se les aplicó chequeo de seguridad   </t>
  </si>
  <si>
    <t xml:space="preserve">N° total de pacientes sometidos a TAC con uso de medio de contraste EV </t>
  </si>
  <si>
    <t xml:space="preserve">API 1.3 </t>
  </si>
  <si>
    <t xml:space="preserve">Porcentaje de solicitudes de exámenes radiológicos completas de acuerdo al protocolo, emitidas en el servicio de Especialidades Medicas </t>
  </si>
  <si>
    <t xml:space="preserve">N° de solicitudes de exámenes radiológicos emitidas en el servicio de Pensionado, completas de acuerdo a protocolo.                     </t>
  </si>
  <si>
    <t>N° de solicitudes de exámenes radiológicos emitidas por el servicio de X</t>
  </si>
  <si>
    <t xml:space="preserve">Porcentaje de solicitudes de exámenes radiológicos completas de acuerdo al protocolo, emitidas en el servicio de Medicina 1. </t>
  </si>
  <si>
    <t>N° de solicitudes de exámenes radiológicos emitidas en el servicio de medicina 1, completas de acuerdo a protocolo.</t>
  </si>
  <si>
    <t xml:space="preserve">N° de solicitudes de exámenes radiológicos emitidas por el servicio de medicina 1.   </t>
  </si>
  <si>
    <t xml:space="preserve">Porcentaje de solicitudes de exámenes radiológicos completas de acuerdo al protocolo, emitidas en el servicio de Medicina 2. </t>
  </si>
  <si>
    <t>N° de solicitudes de exámenes radiológicos emitidas en el servicio de medicina 2, completas de acuerdo a protocolo.</t>
  </si>
  <si>
    <t xml:space="preserve">N° de solicitudes de exámenes radiológicos emitidas por el servicio de medicina 2.   </t>
  </si>
  <si>
    <t xml:space="preserve">Porcentaje de solicitudes de exámenes radiológicos completas de acuerdo al protocolo, emitidas en la Unidad de paciente Crítico Adulto (UPCA). </t>
  </si>
  <si>
    <t xml:space="preserve">N° de solicitudes de exámenes radiológicos emitidas en el servicio de UPCA, completas de acuerdo a protocolo.                     </t>
  </si>
  <si>
    <t xml:space="preserve">N° de solicitudes de exámenes radiológicos emitidas por el servicio de UPCA.   </t>
  </si>
  <si>
    <t xml:space="preserve">Porcentaje de solicitudes de exámenes radiológicos completas de acuerdo al protocolo, emitidas en el servicio de Unidad Paciente crítico Coronario (UPCC). </t>
  </si>
  <si>
    <t xml:space="preserve">N° de solicitudes de exámenes radiológicos emitidas en UPCC, completas de acuerdo a protocolo.                     </t>
  </si>
  <si>
    <t xml:space="preserve">N° de solicitudes de exámenes radiológicos emitidas por UPCC.   </t>
  </si>
  <si>
    <t>Porcentaje de solicitudes de exámenes radiológicos completas de acuerdo al protocolo, emitidas en la Unidad de Hermato-oncologia.</t>
  </si>
  <si>
    <t xml:space="preserve">N° de solicitudes de exámenes radiológicos emitidas en Unidad de Hermato-oncologia, completas de acuerdo a protocolo. </t>
  </si>
  <si>
    <t xml:space="preserve">N° de solicitudes de exámenes radiológicos emitidas por Unidad de Hermato-oncologia. </t>
  </si>
  <si>
    <t xml:space="preserve">Porcentaje de solicitudes de exámenes radiológicos completas de acuerdo al protocolo, emitidas en el servicio de Urgencia. </t>
  </si>
  <si>
    <t xml:space="preserve">N° de solicitudes de exámenes radiológicos emitidas en el servicio de Urgencia, completas de acuerdo a protocolo.                     </t>
  </si>
  <si>
    <t xml:space="preserve">N° de solicitudes de exámenes radiológicos emitidas por el servicio de Urgencia.   </t>
  </si>
  <si>
    <t xml:space="preserve">N° de solicitudes de exámenes radiológicos emitidas en el servicio de Urgencia Pediatrica, completas de acuerdo a protocolo.                     </t>
  </si>
  <si>
    <t xml:space="preserve">N° de solicitudes de exámenes radiológicos emitidas por el servicio de Urgencia Pediatrica.   </t>
  </si>
  <si>
    <t xml:space="preserve">Porcentaje de solicitudes de exámenes radiológicos completas de acuerdo al protocolo, emitidas en el servicio de Urgencia GO. </t>
  </si>
  <si>
    <t xml:space="preserve">N° de solicitudes de exámenes radiológicos emitidas en el servicio de Urgencia GO, completas de acuerdo a protocolo.                     </t>
  </si>
  <si>
    <t xml:space="preserve">N° de solicitudes de exámenes radiológicos emitidas por el servicio de Urgencia .   </t>
  </si>
  <si>
    <t>Porcentaje de pacientes que cumplen con requisitos para realizar kinesioterapia respiratoria en el servicio de Medicina 1.</t>
  </si>
  <si>
    <t>N° de pacientes del servicio de Medicina 1 con indicación de kinesioterapia respiratoria y que cumplen con requisitos antes de la sesión de kinesioterapia respiratoria.</t>
  </si>
  <si>
    <t>N° total de pacientes del servicio de Medicina 1 con indicación de kinesioterapia respiratoria evaluados.</t>
  </si>
  <si>
    <t>Porcentaje de pacientes que cumplen con requisitos para realizar kinesioterapia respiratoria en el servicio de Medicina 2.</t>
  </si>
  <si>
    <t>N° de pacientes del servicio de Medicina 2 con indicación de kinesioterapia respiratoria y que cumplen con requisitos antes de la sesión de kinesioterapia respiratoria.</t>
  </si>
  <si>
    <t>N° total de pacientes del servicio de Medicina 2 con indicación de kinesioterapia respiratoria evaluados.</t>
  </si>
  <si>
    <t xml:space="preserve">Porcentaje de pacientes que cumplen con requisitos para realizar kinesioterapia respiratoria </t>
  </si>
  <si>
    <t>N° de pacientes con indicación de kinesioterapia respiratoria y que cumplen con requisitos antes de la sesión de kinesioterapia respiratoria.</t>
  </si>
  <si>
    <t>N° total de pacientes con indicación de kinesioterapia respiratoria evaluados.</t>
  </si>
  <si>
    <t>Porcentaje de pacientes que cumplen con requisitos para realizar kinesioterapia respiratoria en el servicio de Pediatría.</t>
  </si>
  <si>
    <t>N° de pacientes del servicio de Pediatría con indicación de kinesioterapia respiratoria y que cumplen con requisitos antes de la sesión de kinesioterapia respiratoria.</t>
  </si>
  <si>
    <t>N° total de pacientes del servicio de Pediatría con indicación de kinesioterapia respiratoria evaluados.</t>
  </si>
  <si>
    <t>Porcentaje de pacientes que cumplen con requisitos para realizar kinesioterapia respiratoria en el servicio de UPCA</t>
  </si>
  <si>
    <t>N° de pacientes del servicio de UPCA con indicación de kinesioterapia respiratoria y que cumplen con requisitos antes de la sesión de kinesioterapia respiratoria.</t>
  </si>
  <si>
    <t>N° total de pacientes del servicio de UPCA con indicación de kinesioterapia respiratoria evaluados.</t>
  </si>
  <si>
    <t>Porcentaje de pacientes que cumplen con requisitos para realizar kinesioterapia respiratoria en la Unidad de Paciente Critico Coronario (UPCC).</t>
  </si>
  <si>
    <t>N° de pacientes de la UPCC con indicación de kinesioterapia respiratoria y que cumplen con requisitos antes de la sesión de kinesioterapia respiratoria.</t>
  </si>
  <si>
    <t>N° total de pacientes de la UPCC con indicación de kinesioterapia respiratoria evaluados.</t>
  </si>
  <si>
    <t xml:space="preserve">Porcentaje de pacientes que cumplen con requisitos para realizar kinesioterapia respiratoria en la Unidad de Hemato-oncologia </t>
  </si>
  <si>
    <t>N° de pacientes de la UHI con indicación de kinesioterapia respiratoria y que cumplen con requisitos antes de la sesión de kinesioterapia respiratoria.</t>
  </si>
  <si>
    <t>N° total de pacientes de la UHI con indicación de kinesioterapia respiratoria evaluados.</t>
  </si>
  <si>
    <t>Porcentaje de pacientes que cumplen con requisitos para realizar kinesioterapia respiratoria en la Unidad de Tratamiento Intermedio Pediátrico (UTIP).</t>
  </si>
  <si>
    <t>N° de pacientes de la UTIP con indicación de kinesioterapia respiratoria y que cumplen con requisitos antes de la sesión de kinesioterapia respiratoria.</t>
  </si>
  <si>
    <t>N° total de pacientes de la UTIP con indicación de kinesioterapia respiratoria evaluados.</t>
  </si>
  <si>
    <t>≥ 98%</t>
  </si>
  <si>
    <t>MFYR</t>
  </si>
  <si>
    <t xml:space="preserve">BANCO DE SANGRE </t>
  </si>
  <si>
    <t>APTr 1.3-APDs 1.2- APCs 1.4</t>
  </si>
  <si>
    <t>Porcentaje de transfusiones que cumplen con los criterios de trazabilidad</t>
  </si>
  <si>
    <t>N° de unidades de sangre seleccionadas cumplan con registro de trazabilidad del componentes según procedimiento.</t>
  </si>
  <si>
    <t>N° total de unidades de sangre seleccionadas para control de registro de trazabilidad en el periodo.</t>
  </si>
  <si>
    <t>≥ 99%</t>
  </si>
  <si>
    <t>Porcentaje de unidades de concentrado de globulos rojos que en su elaboración, cumplen con volumen en rango esperado.</t>
  </si>
  <si>
    <t>N° de unidades de concentrado de globulos rojos cuyo volumen cumple con rango esperado.</t>
  </si>
  <si>
    <t>N° total de unidades de concentracion de globulos rojos elaborados.</t>
  </si>
  <si>
    <t xml:space="preserve">Porcentaje de cumplimiento del procedimiento de Consentimiento informados según protocolo institucional </t>
  </si>
  <si>
    <t>N° de consentimientos informados que cumplen con los requisitos mínimos de acuerdo protocolo</t>
  </si>
  <si>
    <t xml:space="preserve">Porcentaje de cumplimiento de paciente con  preparación preoperatoria que cumplen con el protocolo  provenientes en pabellón  </t>
  </si>
  <si>
    <t>N° de pacientes con preparación preoperatoria que cumple según protocolo</t>
  </si>
  <si>
    <t>Porcentaje de cumplimiento de las precauciones estándar: Lavado de manos quirúrgicos en estamento medico</t>
  </si>
  <si>
    <t>Marzo</t>
  </si>
  <si>
    <t>Junio</t>
  </si>
  <si>
    <t>Septiembre</t>
  </si>
  <si>
    <t>Diciembre</t>
  </si>
  <si>
    <t>Abril</t>
  </si>
  <si>
    <t>Julio</t>
  </si>
  <si>
    <t>Agosto</t>
  </si>
  <si>
    <t>Octubre</t>
  </si>
  <si>
    <t>Noviembre</t>
  </si>
  <si>
    <t>Trimestre I</t>
  </si>
  <si>
    <t>Trimestre II</t>
  </si>
  <si>
    <t>≤ 3%</t>
  </si>
  <si>
    <t>Obligatoriedad</t>
  </si>
  <si>
    <t>OBLIGATORIO</t>
  </si>
  <si>
    <t>NO OBLIGATORIO</t>
  </si>
  <si>
    <t>MONITOREO INDICADORES ACREDITACIÓN</t>
  </si>
  <si>
    <t>Para añadir una nueva medición, haz click aquí:</t>
  </si>
  <si>
    <t>Para generar gráficos, haz click aquí:</t>
  </si>
  <si>
    <t>en revision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</si>
</sst>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ck">
        <color theme="3" tint="-0.249977111117893"/>
      </left>
      <right/>
      <top style="thick">
        <color theme="3" tint="-0.249977111117893"/>
      </top>
      <bottom/>
      <diagonal/>
    </border>
    <border>
      <left/>
      <right/>
      <top style="thick">
        <color theme="3" tint="-0.249977111117893"/>
      </top>
      <bottom/>
      <diagonal/>
    </border>
    <border>
      <left/>
      <right style="thick">
        <color theme="3" tint="-0.249977111117893"/>
      </right>
      <top style="thick">
        <color theme="3" tint="-0.249977111117893"/>
      </top>
      <bottom/>
      <diagonal/>
    </border>
    <border>
      <left style="thick">
        <color theme="3" tint="-0.249977111117893"/>
      </left>
      <right/>
      <top/>
      <bottom/>
      <diagonal/>
    </border>
    <border>
      <left/>
      <right style="thick">
        <color theme="3" tint="-0.249977111117893"/>
      </right>
      <top/>
      <bottom/>
      <diagonal/>
    </border>
    <border>
      <left style="thick">
        <color theme="3" tint="-0.249977111117893"/>
      </left>
      <right/>
      <top/>
      <bottom style="thick">
        <color theme="3" tint="-0.249977111117893"/>
      </bottom>
      <diagonal/>
    </border>
    <border>
      <left/>
      <right/>
      <top/>
      <bottom style="thick">
        <color theme="3" tint="-0.249977111117893"/>
      </bottom>
      <diagonal/>
    </border>
    <border>
      <left/>
      <right style="thick">
        <color theme="3" tint="-0.249977111117893"/>
      </right>
      <top/>
      <bottom style="thick">
        <color theme="3" tint="-0.249977111117893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29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9" fontId="0" fillId="0" borderId="0" xfId="0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2" fillId="0" borderId="0" xfId="0" applyFont="1" applyAlignment="1">
      <alignment wrapText="1"/>
    </xf>
    <xf numFmtId="0" fontId="3" fillId="2" borderId="2" xfId="0" applyFont="1" applyFill="1" applyBorder="1" applyAlignment="1">
      <alignment horizontal="center" vertical="center" wrapText="1"/>
    </xf>
    <xf numFmtId="2" fontId="0" fillId="0" borderId="0" xfId="0" applyNumberFormat="1"/>
    <xf numFmtId="0" fontId="5" fillId="0" borderId="0" xfId="0" applyFont="1" applyAlignment="1">
      <alignment horizontal="left"/>
    </xf>
    <xf numFmtId="0" fontId="0" fillId="2" borderId="6" xfId="0" applyFill="1" applyBorder="1"/>
    <xf numFmtId="0" fontId="0" fillId="2" borderId="0" xfId="0" applyFill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6" xfId="0" applyFont="1" applyFill="1" applyBorder="1"/>
    <xf numFmtId="9" fontId="0" fillId="0" borderId="0" xfId="1" applyFont="1" applyAlignment="1">
      <alignment wrapText="1"/>
    </xf>
    <xf numFmtId="0" fontId="4" fillId="2" borderId="11" xfId="0" applyFont="1" applyFill="1" applyBorder="1" applyAlignment="1">
      <alignment horizontal="left" vertical="center" wrapText="1"/>
    </xf>
    <xf numFmtId="0" fontId="4" fillId="2" borderId="11" xfId="0" applyFont="1" applyFill="1" applyBorder="1" applyAlignment="1">
      <alignment horizontal="center" vertical="center" wrapText="1"/>
    </xf>
    <xf numFmtId="2" fontId="4" fillId="2" borderId="11" xfId="0" applyNumberFormat="1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19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2.2  | Porcentaje de cumplimiento de los seis correctos en la administración de medicamentos en el servicio de 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(ReporteTemp!$D$2,ReporteTemp!$D$6)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(ReporteTemp!$G$2,ReporteTemp!$G$6)</c:f>
              <c:numCache>
                <c:formatCode>0.0%</c:formatCode>
                <c:ptCount val="2"/>
                <c:pt idx="0">
                  <c:v>0.92307692307692313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F0-47A7-A5DB-6FA09D2B9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4527"/>
        <c:axId val="465767887"/>
      </c:barChart>
      <c:catAx>
        <c:axId val="4657645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7887"/>
        <c:crosses val="autoZero"/>
        <c:auto val="1"/>
        <c:lblAlgn val="ctr"/>
        <c:lblOffset val="100"/>
        <c:noMultiLvlLbl val="0"/>
      </c:catAx>
      <c:valAx>
        <c:axId val="465767887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452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1.3  | Porcentaje de pacientes post operados , a los cuales se les aplica escala del dolor EVA de acuerdo a procedimiento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(ReporteTemp!$D$3,ReporteTemp!$D$7)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(ReporteTemp!$G$3,ReporteTemp!$G$7)</c:f>
              <c:numCache>
                <c:formatCode>0.0%</c:formatCode>
                <c:ptCount val="2"/>
                <c:pt idx="0">
                  <c:v>0.94594594594594594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45-4FB7-AF97-40E7F51FD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65487"/>
        <c:axId val="465769327"/>
      </c:barChart>
      <c:catAx>
        <c:axId val="4657654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65769327"/>
        <c:crosses val="autoZero"/>
        <c:auto val="1"/>
        <c:lblAlgn val="ctr"/>
        <c:lblOffset val="100"/>
        <c:noMultiLvlLbl val="0"/>
      </c:catAx>
      <c:valAx>
        <c:axId val="4657693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654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GCL 3.3  | Porcentaje de cumplimiento de las precauciones estándar: Técnica de higiene de manos en el servicio de XXX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(ReporteTemp!$D$4,ReporteTemp!$D$8)</c:f>
              <c:strCache>
                <c:ptCount val="2"/>
                <c:pt idx="0">
                  <c:v>Trimestre I</c:v>
                </c:pt>
                <c:pt idx="1">
                  <c:v>Trimestre II</c:v>
                </c:pt>
              </c:strCache>
            </c:strRef>
          </c:cat>
          <c:val>
            <c:numRef>
              <c:f>(ReporteTemp!$G$4,ReporteTemp!$G$8)</c:f>
              <c:numCache>
                <c:formatCode>0.0%</c:formatCode>
                <c:ptCount val="2"/>
                <c:pt idx="0">
                  <c:v>0.87179487179487181</c:v>
                </c:pt>
                <c:pt idx="1">
                  <c:v>0.75641025641025639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83-4B27-9F21-84D3E9798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771247"/>
        <c:axId val="1442906607"/>
      </c:barChart>
      <c:catAx>
        <c:axId val="4657712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6607"/>
        <c:crosses val="autoZero"/>
        <c:auto val="1"/>
        <c:lblAlgn val="ctr"/>
        <c:lblOffset val="100"/>
        <c:noMultiLvlLbl val="0"/>
      </c:catAx>
      <c:valAx>
        <c:axId val="14429066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6577124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1.2  | Porcentaje de epicrisis que cumplen con datos mínimos de acuerdo a protocolo en el servicio de Cirugía.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ReporteTemp!$D$5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ReporteTemp!$G$5</c:f>
              <c:numCache>
                <c:formatCode>0.0%</c:formatCode>
                <c:ptCount val="1"/>
                <c:pt idx="0">
                  <c:v>0.87878787878787878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39-4533-ABB2-5B2AB6D4B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2907087"/>
        <c:axId val="1442909007"/>
      </c:barChart>
      <c:catAx>
        <c:axId val="14429070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9007"/>
        <c:crosses val="autoZero"/>
        <c:auto val="1"/>
        <c:lblAlgn val="ctr"/>
        <c:lblOffset val="100"/>
        <c:noMultiLvlLbl val="0"/>
      </c:catAx>
      <c:valAx>
        <c:axId val="144290900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42907087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DP 2.1 | Porcentaje de cumplimiento del procedimiento de Consentimiento informados según protocolo institucional 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ReporteTemp!$D$9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ReporteTemp!$G$9</c:f>
              <c:numCache>
                <c:formatCode>0.0%</c:formatCode>
                <c:ptCount val="1"/>
                <c:pt idx="0">
                  <c:v>0.86153846153846159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D93-432A-8713-7F7A4CD746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0110559"/>
        <c:axId val="1442902287"/>
      </c:barChart>
      <c:catAx>
        <c:axId val="141011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2287"/>
        <c:crosses val="autoZero"/>
        <c:auto val="1"/>
        <c:lblAlgn val="ctr"/>
        <c:lblOffset val="100"/>
        <c:noMultiLvlLbl val="0"/>
      </c:catAx>
      <c:valAx>
        <c:axId val="144290228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410110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/>
              <a:t>REG 1.3  | Porcentaje de pacientes que al momento del alta, reciben su epicrisis medica de acuerdo a protocolo en el Hospital Modular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ReporteTemp!$D$10</c:f>
              <c:strCache>
                <c:ptCount val="1"/>
                <c:pt idx="0">
                  <c:v>Trimestre I</c:v>
                </c:pt>
              </c:strCache>
            </c:strRef>
          </c:cat>
          <c:val>
            <c:numRef>
              <c:f>ReporteTemp!$G$10</c:f>
              <c:numCache>
                <c:formatCode>0.0%</c:formatCode>
                <c:ptCount val="1"/>
                <c:pt idx="0">
                  <c:v>0.63636363636363635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E-451B-BB6D-06D7EA06C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77535"/>
        <c:axId val="1442903727"/>
      </c:barChart>
      <c:catAx>
        <c:axId val="547877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Periodo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2903727"/>
        <c:crosses val="autoZero"/>
        <c:auto val="1"/>
        <c:lblAlgn val="ctr"/>
        <c:lblOffset val="100"/>
        <c:noMultiLvlLbl val="0"/>
      </c:catAx>
      <c:valAx>
        <c:axId val="14429037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s-CL"/>
                  <a:t>Porcentaje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54787753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10</xdr:col>
          <xdr:colOff>381000</xdr:colOff>
          <xdr:row>2</xdr:row>
          <xdr:rowOff>0</xdr:rowOff>
        </xdr:to>
        <xdr:sp macro="" textlink="">
          <xdr:nvSpPr>
            <xdr:cNvPr id="44033" name="btnGenerarGrafico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0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18</xdr:row>
      <xdr:rowOff>0</xdr:rowOff>
    </xdr:from>
    <xdr:to>
      <xdr:col>16</xdr:col>
      <xdr:colOff>254000</xdr:colOff>
      <xdr:row>38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43C109E-28CA-129C-98C5-B2C461801B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63500</xdr:rowOff>
    </xdr:from>
    <xdr:to>
      <xdr:col>16</xdr:col>
      <xdr:colOff>254000</xdr:colOff>
      <xdr:row>59</xdr:row>
      <xdr:rowOff>63500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996027A-E44C-021A-806A-14BE9CE64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60</xdr:row>
      <xdr:rowOff>127000</xdr:rowOff>
    </xdr:from>
    <xdr:to>
      <xdr:col>16</xdr:col>
      <xdr:colOff>254000</xdr:colOff>
      <xdr:row>80</xdr:row>
      <xdr:rowOff>127000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2E97DF5-9575-4B50-3B27-2E3886E54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83</xdr:row>
      <xdr:rowOff>0</xdr:rowOff>
    </xdr:from>
    <xdr:to>
      <xdr:col>16</xdr:col>
      <xdr:colOff>254000</xdr:colOff>
      <xdr:row>103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A5FAA39-3357-27A8-51FF-E66894C9F6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104</xdr:row>
      <xdr:rowOff>63500</xdr:rowOff>
    </xdr:from>
    <xdr:to>
      <xdr:col>16</xdr:col>
      <xdr:colOff>254000</xdr:colOff>
      <xdr:row>124</xdr:row>
      <xdr:rowOff>63500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80B00E8A-8D7D-6CB0-E552-AC05579B94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125</xdr:row>
      <xdr:rowOff>127000</xdr:rowOff>
    </xdr:from>
    <xdr:to>
      <xdr:col>16</xdr:col>
      <xdr:colOff>254000</xdr:colOff>
      <xdr:row>145</xdr:row>
      <xdr:rowOff>127000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A813A24-5217-D262-AAB1-CC00D0E64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3</xdr:row>
          <xdr:rowOff>66675</xdr:rowOff>
        </xdr:from>
        <xdr:to>
          <xdr:col>7</xdr:col>
          <xdr:colOff>38100</xdr:colOff>
          <xdr:row>6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171450</xdr:rowOff>
        </xdr:from>
        <xdr:to>
          <xdr:col>6</xdr:col>
          <xdr:colOff>142875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E044A2-0C0F-4486-9F16-16DDFB1AFC21}" name="Tabla2" displayName="Tabla2" ref="A1:I732" totalsRowShown="0" headerRowDxfId="18" headerRowBorderDxfId="17" tableBorderDxfId="16">
  <autoFilter ref="A1:I732" xr:uid="{3FE044A2-0C0F-4486-9F16-16DDFB1AFC21}"/>
  <tableColumns count="9">
    <tableColumn id="1" xr3:uid="{E05B4F78-58E7-4200-B117-80BC89BB08AA}" name="Servicio" dataDxfId="15"/>
    <tableColumn id="2" xr3:uid="{9E9109BC-61DF-4B0D-AD94-D0B13A672BD7}" name="Año"/>
    <tableColumn id="3" xr3:uid="{9229AF2C-EC7C-4B5E-84C8-8C8B1FBA0901}" name="Mes"/>
    <tableColumn id="4" xr3:uid="{8A697D83-1FCF-4792-A99A-BD7ED8BD3DE9}" name="Ámbito"/>
    <tableColumn id="5" xr3:uid="{4EE011AD-1453-4070-B936-537A2923ED56}" name="Característica"/>
    <tableColumn id="6" xr3:uid="{0330848A-5A8B-4FD0-9B42-322AF7B98864}" name="Indicador" dataDxfId="14"/>
    <tableColumn id="7" xr3:uid="{0C62775F-C91E-4E70-A080-7ECB2481C8CB}" name="Numerador"/>
    <tableColumn id="8" xr3:uid="{1E911D02-579A-4D85-BA07-90EEE85F9544}" name="Denominador"/>
    <tableColumn id="9" xr3:uid="{68163A0D-1F28-4E71-8557-B909EA528D36}" name="Porcentaje" dataDxfId="13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0EE5F0-DBF6-49EE-B745-426445DF8DF7}" name="Tabla1" displayName="Tabla1" ref="A1:K283" totalsRowShown="0" headerRowDxfId="12" dataDxfId="11">
  <autoFilter ref="A1:K283" xr:uid="{00000000-0009-0000-0000-000003000000}"/>
  <tableColumns count="11">
    <tableColumn id="1" xr3:uid="{C42F28A8-CA3F-45E1-A182-23716AC99E97}" name="Servicio" dataDxfId="10"/>
    <tableColumn id="2" xr3:uid="{49BCC4F3-0A80-4188-9F59-98C516574EB8}" name="Ámbito" dataDxfId="9"/>
    <tableColumn id="3" xr3:uid="{4823504D-09F3-4002-BC14-D8AFD778B20B}" name="Característica" dataDxfId="8"/>
    <tableColumn id="4" xr3:uid="{F884A9A8-47A4-46B7-9D9B-671B2631B742}" name="Nombre del Indicador" dataDxfId="7"/>
    <tableColumn id="5" xr3:uid="{81E2B05D-EB04-415E-9EC5-4667A3960F19}" name="Nominador" dataDxfId="6"/>
    <tableColumn id="6" xr3:uid="{24ACCDD9-49A3-4A3B-8695-DDE3D9B29A81}" name="Denominador" dataDxfId="5"/>
    <tableColumn id="7" xr3:uid="{3679AAB0-8F94-40F5-94AB-B1514D3143C4}" name="Periodicidad" dataDxfId="4"/>
    <tableColumn id="8" xr3:uid="{1448378C-A9EB-4BF6-BD45-DEA7CC3B5412}" name="Muestra/Universo" dataDxfId="3"/>
    <tableColumn id="9" xr3:uid="{D92DCE83-1D3C-4579-A89A-6BEE21A07232}" name="Meta" dataDxfId="2"/>
    <tableColumn id="10" xr3:uid="{01036BEE-49DF-433A-9B36-7A3C460CA6E2}" name="Margen de Error" dataDxfId="1"/>
    <tableColumn id="11" xr3:uid="{067739C8-7F58-4851-8DE8-3963E5917D58}" name="Obligatorieda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49D06-BD0A-49A6-A3B5-3DEB1C2601D3}">
  <dimension ref="A1:G10"/>
  <sheetViews>
    <sheetView workbookViewId="0">
      <selection activeCell="S21" sqref="S21"/>
    </sheetView>
  </sheetViews>
  <sheetFormatPr baseColWidth="10" defaultRowHeight="15" x14ac:dyDescent="0.25"/>
  <sheetData>
    <row r="1" spans="1:7" x14ac:dyDescent="0.25">
      <c r="A1" t="s">
        <v>133</v>
      </c>
      <c r="B1" t="s">
        <v>1</v>
      </c>
      <c r="C1" t="s">
        <v>136</v>
      </c>
      <c r="D1" t="s">
        <v>141</v>
      </c>
      <c r="E1" t="s">
        <v>137</v>
      </c>
      <c r="F1" t="s">
        <v>4</v>
      </c>
      <c r="G1" t="s">
        <v>138</v>
      </c>
    </row>
    <row r="2" spans="1:7" x14ac:dyDescent="0.25">
      <c r="A2" t="s">
        <v>146</v>
      </c>
      <c r="B2" t="s">
        <v>261</v>
      </c>
      <c r="C2" t="s">
        <v>262</v>
      </c>
      <c r="D2" t="s">
        <v>635</v>
      </c>
      <c r="E2">
        <v>36</v>
      </c>
      <c r="F2">
        <v>39</v>
      </c>
      <c r="G2" s="1">
        <v>0.92307692307692313</v>
      </c>
    </row>
    <row r="3" spans="1:7" x14ac:dyDescent="0.25">
      <c r="A3" t="s">
        <v>146</v>
      </c>
      <c r="B3" t="s">
        <v>209</v>
      </c>
      <c r="C3" t="s">
        <v>216</v>
      </c>
      <c r="D3" t="s">
        <v>635</v>
      </c>
      <c r="E3">
        <v>35</v>
      </c>
      <c r="F3">
        <v>37</v>
      </c>
      <c r="G3" s="1">
        <v>0.94594594594594594</v>
      </c>
    </row>
    <row r="4" spans="1:7" x14ac:dyDescent="0.25">
      <c r="A4" t="s">
        <v>146</v>
      </c>
      <c r="B4" t="s">
        <v>273</v>
      </c>
      <c r="C4" t="s">
        <v>274</v>
      </c>
      <c r="D4" t="s">
        <v>635</v>
      </c>
      <c r="E4">
        <v>68</v>
      </c>
      <c r="F4">
        <v>78</v>
      </c>
      <c r="G4" s="1">
        <v>0.87179487179487181</v>
      </c>
    </row>
    <row r="5" spans="1:7" x14ac:dyDescent="0.25">
      <c r="A5" t="s">
        <v>146</v>
      </c>
      <c r="B5" t="s">
        <v>315</v>
      </c>
      <c r="C5" t="s">
        <v>317</v>
      </c>
      <c r="D5" t="s">
        <v>635</v>
      </c>
      <c r="E5">
        <v>29</v>
      </c>
      <c r="F5">
        <v>33</v>
      </c>
      <c r="G5" s="1">
        <v>0.87878787878787878</v>
      </c>
    </row>
    <row r="6" spans="1:7" x14ac:dyDescent="0.25">
      <c r="A6" t="s">
        <v>146</v>
      </c>
      <c r="B6" t="s">
        <v>261</v>
      </c>
      <c r="C6" t="s">
        <v>262</v>
      </c>
      <c r="D6" t="s">
        <v>636</v>
      </c>
      <c r="E6">
        <v>39</v>
      </c>
      <c r="F6">
        <v>39</v>
      </c>
      <c r="G6" s="1">
        <v>1</v>
      </c>
    </row>
    <row r="7" spans="1:7" x14ac:dyDescent="0.25">
      <c r="A7" t="s">
        <v>146</v>
      </c>
      <c r="B7" t="s">
        <v>209</v>
      </c>
      <c r="C7" t="s">
        <v>216</v>
      </c>
      <c r="D7" t="s">
        <v>636</v>
      </c>
      <c r="E7">
        <v>38</v>
      </c>
      <c r="F7">
        <v>38</v>
      </c>
      <c r="G7" s="1">
        <v>1</v>
      </c>
    </row>
    <row r="8" spans="1:7" x14ac:dyDescent="0.25">
      <c r="A8" t="s">
        <v>146</v>
      </c>
      <c r="B8" t="s">
        <v>273</v>
      </c>
      <c r="C8" t="s">
        <v>274</v>
      </c>
      <c r="D8" t="s">
        <v>636</v>
      </c>
      <c r="E8">
        <v>59</v>
      </c>
      <c r="F8">
        <v>78</v>
      </c>
      <c r="G8" s="1">
        <v>0.75641025641025639</v>
      </c>
    </row>
    <row r="9" spans="1:7" x14ac:dyDescent="0.25">
      <c r="A9" t="s">
        <v>146</v>
      </c>
      <c r="B9" t="s">
        <v>16</v>
      </c>
      <c r="C9" t="s">
        <v>621</v>
      </c>
      <c r="D9" t="s">
        <v>635</v>
      </c>
      <c r="E9">
        <v>56</v>
      </c>
      <c r="F9">
        <v>65</v>
      </c>
      <c r="G9" s="1">
        <v>0.86153846153846159</v>
      </c>
    </row>
    <row r="10" spans="1:7" x14ac:dyDescent="0.25">
      <c r="A10" t="s">
        <v>146</v>
      </c>
      <c r="B10" t="s">
        <v>353</v>
      </c>
      <c r="C10" t="s">
        <v>360</v>
      </c>
      <c r="D10" t="s">
        <v>635</v>
      </c>
      <c r="E10">
        <v>21</v>
      </c>
      <c r="F10">
        <v>33</v>
      </c>
      <c r="G10" s="1">
        <v>0.63636363636363635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tnGenerarGrafico">
              <controlPr defaultSize="0" print="0" autoFill="0" autoPict="0" macro="[0]!GenerarGraficoCumplimiento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10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I34"/>
  <sheetViews>
    <sheetView topLeftCell="A22" workbookViewId="0">
      <selection activeCell="I12" sqref="I12"/>
    </sheetView>
  </sheetViews>
  <sheetFormatPr baseColWidth="10" defaultColWidth="0" defaultRowHeight="15" x14ac:dyDescent="0.25"/>
  <cols>
    <col min="1" max="1" width="3.140625" customWidth="1"/>
    <col min="2" max="9" width="11.42578125" customWidth="1"/>
    <col min="10" max="16384" width="11.42578125" hidden="1"/>
  </cols>
  <sheetData>
    <row r="1" spans="2:8" ht="15.75" thickTop="1" x14ac:dyDescent="0.25">
      <c r="B1" s="23" t="s">
        <v>641</v>
      </c>
      <c r="C1" s="24"/>
      <c r="D1" s="24"/>
      <c r="E1" s="24"/>
      <c r="F1" s="24"/>
      <c r="G1" s="24"/>
      <c r="H1" s="25"/>
    </row>
    <row r="2" spans="2:8" ht="15.75" thickBot="1" x14ac:dyDescent="0.3">
      <c r="B2" s="26"/>
      <c r="C2" s="27"/>
      <c r="D2" s="27"/>
      <c r="E2" s="27"/>
      <c r="F2" s="27"/>
      <c r="G2" s="27"/>
      <c r="H2" s="28"/>
    </row>
    <row r="3" spans="2:8" ht="15.75" thickTop="1" x14ac:dyDescent="0.25">
      <c r="B3" s="12"/>
      <c r="C3" s="13"/>
      <c r="D3" s="13"/>
      <c r="E3" s="13"/>
      <c r="F3" s="13"/>
      <c r="G3" s="13"/>
      <c r="H3" s="14"/>
    </row>
    <row r="4" spans="2:8" x14ac:dyDescent="0.25">
      <c r="B4" s="12"/>
      <c r="C4" s="13"/>
      <c r="D4" s="13"/>
      <c r="E4" s="13"/>
      <c r="F4" s="13"/>
      <c r="G4" s="13"/>
      <c r="H4" s="14"/>
    </row>
    <row r="5" spans="2:8" x14ac:dyDescent="0.25">
      <c r="B5" s="18" t="s">
        <v>642</v>
      </c>
      <c r="C5" s="13"/>
      <c r="D5" s="13"/>
      <c r="E5" s="13"/>
      <c r="F5" s="13"/>
      <c r="G5" s="13"/>
      <c r="H5" s="14"/>
    </row>
    <row r="6" spans="2:8" x14ac:dyDescent="0.25">
      <c r="B6" s="12"/>
      <c r="C6" s="13"/>
      <c r="D6" s="13"/>
      <c r="E6" s="13"/>
      <c r="F6" s="13"/>
      <c r="G6" s="13"/>
      <c r="H6" s="14"/>
    </row>
    <row r="7" spans="2:8" x14ac:dyDescent="0.25">
      <c r="B7" s="12"/>
      <c r="C7" s="13"/>
      <c r="D7" s="13"/>
      <c r="E7" s="13"/>
      <c r="F7" s="13"/>
      <c r="G7" s="13"/>
      <c r="H7" s="14"/>
    </row>
    <row r="8" spans="2:8" x14ac:dyDescent="0.25">
      <c r="B8" s="12"/>
      <c r="C8" s="13"/>
      <c r="D8" s="13"/>
      <c r="E8" s="13"/>
      <c r="F8" s="13"/>
      <c r="G8" s="13"/>
      <c r="H8" s="14"/>
    </row>
    <row r="9" spans="2:8" x14ac:dyDescent="0.25">
      <c r="B9" s="12"/>
      <c r="C9" s="13"/>
      <c r="D9" s="13"/>
      <c r="E9" s="13"/>
      <c r="F9" s="13"/>
      <c r="G9" s="13"/>
      <c r="H9" s="14"/>
    </row>
    <row r="10" spans="2:8" x14ac:dyDescent="0.25">
      <c r="B10" s="12"/>
      <c r="C10" s="13"/>
      <c r="D10" s="13"/>
      <c r="E10" s="13"/>
      <c r="F10" s="13"/>
      <c r="G10" s="13"/>
      <c r="H10" s="14"/>
    </row>
    <row r="11" spans="2:8" x14ac:dyDescent="0.25">
      <c r="B11" s="18" t="s">
        <v>643</v>
      </c>
      <c r="C11" s="13"/>
      <c r="D11" s="13"/>
      <c r="E11" s="13"/>
      <c r="F11" s="13"/>
      <c r="G11" s="13"/>
      <c r="H11" s="14"/>
    </row>
    <row r="12" spans="2:8" x14ac:dyDescent="0.25">
      <c r="B12" s="12"/>
      <c r="C12" s="13"/>
      <c r="D12" s="13"/>
      <c r="E12" s="13"/>
      <c r="F12" s="13"/>
      <c r="G12" s="13"/>
      <c r="H12" s="14"/>
    </row>
    <row r="13" spans="2:8" x14ac:dyDescent="0.25">
      <c r="B13" s="12"/>
      <c r="C13" s="13"/>
      <c r="D13" s="13"/>
      <c r="E13" s="13"/>
      <c r="F13" s="13"/>
      <c r="G13" s="13"/>
      <c r="H13" s="14"/>
    </row>
    <row r="14" spans="2:8" x14ac:dyDescent="0.25">
      <c r="B14" s="12"/>
      <c r="C14" s="13"/>
      <c r="D14" s="13"/>
      <c r="E14" s="13"/>
      <c r="F14" s="13"/>
      <c r="G14" s="13"/>
      <c r="H14" s="14"/>
    </row>
    <row r="15" spans="2:8" x14ac:dyDescent="0.25">
      <c r="B15" s="12"/>
      <c r="C15" s="13"/>
      <c r="D15" s="13"/>
      <c r="E15" s="13"/>
      <c r="F15" s="13"/>
      <c r="G15" s="13"/>
      <c r="H15" s="14"/>
    </row>
    <row r="16" spans="2:8" x14ac:dyDescent="0.25">
      <c r="B16" s="12"/>
      <c r="C16" s="13"/>
      <c r="D16" s="13"/>
      <c r="E16" s="13"/>
      <c r="F16" s="13"/>
      <c r="G16" s="13"/>
      <c r="H16" s="14"/>
    </row>
    <row r="17" spans="2:8" x14ac:dyDescent="0.25">
      <c r="B17" s="12"/>
      <c r="C17" s="13"/>
      <c r="D17" s="13"/>
      <c r="E17" s="13"/>
      <c r="F17" s="13"/>
      <c r="G17" s="13"/>
      <c r="H17" s="14"/>
    </row>
    <row r="18" spans="2:8" x14ac:dyDescent="0.25">
      <c r="B18" s="12"/>
      <c r="C18" s="13"/>
      <c r="D18" s="13"/>
      <c r="E18" s="13"/>
      <c r="F18" s="13"/>
      <c r="G18" s="13"/>
      <c r="H18" s="14"/>
    </row>
    <row r="19" spans="2:8" x14ac:dyDescent="0.25">
      <c r="B19" s="12"/>
      <c r="C19" s="13"/>
      <c r="D19" s="13"/>
      <c r="E19" s="13"/>
      <c r="F19" s="13"/>
      <c r="G19" s="13"/>
      <c r="H19" s="14"/>
    </row>
    <row r="20" spans="2:8" x14ac:dyDescent="0.25">
      <c r="B20" s="12"/>
      <c r="C20" s="13"/>
      <c r="D20" s="13"/>
      <c r="E20" s="13"/>
      <c r="F20" s="13"/>
      <c r="G20" s="13"/>
      <c r="H20" s="14"/>
    </row>
    <row r="21" spans="2:8" x14ac:dyDescent="0.25">
      <c r="B21" s="12"/>
      <c r="C21" s="13"/>
      <c r="D21" s="13"/>
      <c r="E21" s="13"/>
      <c r="F21" s="13"/>
      <c r="G21" s="13"/>
      <c r="H21" s="14"/>
    </row>
    <row r="22" spans="2:8" x14ac:dyDescent="0.25">
      <c r="B22" s="12"/>
      <c r="C22" s="13"/>
      <c r="D22" s="13"/>
      <c r="E22" s="13"/>
      <c r="F22" s="13"/>
      <c r="G22" s="13"/>
      <c r="H22" s="14"/>
    </row>
    <row r="23" spans="2:8" x14ac:dyDescent="0.25">
      <c r="B23" s="12"/>
      <c r="C23" s="13"/>
      <c r="D23" s="13"/>
      <c r="E23" s="13"/>
      <c r="F23" s="13"/>
      <c r="G23" s="13"/>
      <c r="H23" s="14"/>
    </row>
    <row r="24" spans="2:8" x14ac:dyDescent="0.25">
      <c r="B24" s="12"/>
      <c r="C24" s="13"/>
      <c r="D24" s="13"/>
      <c r="E24" s="13"/>
      <c r="F24" s="13"/>
      <c r="G24" s="13"/>
      <c r="H24" s="14"/>
    </row>
    <row r="25" spans="2:8" x14ac:dyDescent="0.25">
      <c r="B25" s="12"/>
      <c r="C25" s="13"/>
      <c r="D25" s="13"/>
      <c r="E25" s="13"/>
      <c r="F25" s="13"/>
      <c r="G25" s="13"/>
      <c r="H25" s="14"/>
    </row>
    <row r="26" spans="2:8" x14ac:dyDescent="0.25">
      <c r="B26" s="12"/>
      <c r="C26" s="13"/>
      <c r="D26" s="13"/>
      <c r="E26" s="13"/>
      <c r="F26" s="13"/>
      <c r="G26" s="13"/>
      <c r="H26" s="14"/>
    </row>
    <row r="27" spans="2:8" x14ac:dyDescent="0.25">
      <c r="B27" s="12"/>
      <c r="C27" s="13"/>
      <c r="D27" s="13"/>
      <c r="E27" s="13"/>
      <c r="F27" s="13"/>
      <c r="G27" s="13"/>
      <c r="H27" s="14"/>
    </row>
    <row r="28" spans="2:8" x14ac:dyDescent="0.25">
      <c r="B28" s="12"/>
      <c r="C28" s="13"/>
      <c r="D28" s="13"/>
      <c r="E28" s="13"/>
      <c r="F28" s="13"/>
      <c r="G28" s="13"/>
      <c r="H28" s="14"/>
    </row>
    <row r="29" spans="2:8" x14ac:dyDescent="0.25">
      <c r="B29" s="12"/>
      <c r="C29" s="13"/>
      <c r="D29" s="13"/>
      <c r="E29" s="13"/>
      <c r="F29" s="13"/>
      <c r="G29" s="13"/>
      <c r="H29" s="14"/>
    </row>
    <row r="30" spans="2:8" x14ac:dyDescent="0.25">
      <c r="B30" s="12"/>
      <c r="C30" s="13"/>
      <c r="D30" s="13"/>
      <c r="E30" s="13"/>
      <c r="F30" s="13"/>
      <c r="G30" s="13"/>
      <c r="H30" s="14"/>
    </row>
    <row r="31" spans="2:8" x14ac:dyDescent="0.25">
      <c r="B31" s="12"/>
      <c r="C31" s="13"/>
      <c r="D31" s="13"/>
      <c r="E31" s="13"/>
      <c r="F31" s="13"/>
      <c r="G31" s="13"/>
      <c r="H31" s="14"/>
    </row>
    <row r="32" spans="2:8" x14ac:dyDescent="0.25">
      <c r="B32" s="12"/>
      <c r="C32" s="13"/>
      <c r="D32" s="13"/>
      <c r="E32" s="13"/>
      <c r="F32" s="13"/>
      <c r="G32" s="13"/>
      <c r="H32" s="14"/>
    </row>
    <row r="33" spans="2:8" ht="15.75" thickBot="1" x14ac:dyDescent="0.3">
      <c r="B33" s="15"/>
      <c r="C33" s="16"/>
      <c r="D33" s="16"/>
      <c r="E33" s="16"/>
      <c r="F33" s="16"/>
      <c r="G33" s="16"/>
      <c r="H33" s="17"/>
    </row>
    <row r="34" spans="2:8" ht="15.75" thickTop="1" x14ac:dyDescent="0.25"/>
  </sheetData>
  <mergeCells count="1">
    <mergeCell ref="B1:H2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brirFormulario">
                <anchor moveWithCells="1" sizeWithCells="1">
                  <from>
                    <xdr:col>4</xdr:col>
                    <xdr:colOff>666750</xdr:colOff>
                    <xdr:row>3</xdr:row>
                    <xdr:rowOff>66675</xdr:rowOff>
                  </from>
                  <to>
                    <xdr:col>7</xdr:col>
                    <xdr:colOff>38100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brirFrmReporte">
                <anchor moveWithCells="1" sizeWithCells="1">
                  <from>
                    <xdr:col>4</xdr:col>
                    <xdr:colOff>9525</xdr:colOff>
                    <xdr:row>8</xdr:row>
                    <xdr:rowOff>171450</xdr:rowOff>
                  </from>
                  <to>
                    <xdr:col>6</xdr:col>
                    <xdr:colOff>142875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I732"/>
  <sheetViews>
    <sheetView tabSelected="1" zoomScaleNormal="100" workbookViewId="0">
      <selection activeCell="A733" sqref="A733"/>
    </sheetView>
  </sheetViews>
  <sheetFormatPr baseColWidth="10" defaultColWidth="9.140625" defaultRowHeight="15" x14ac:dyDescent="0.25"/>
  <cols>
    <col min="1" max="1" width="25.85546875" style="11" customWidth="1"/>
    <col min="3" max="3" width="13.140625" customWidth="1"/>
    <col min="4" max="4" width="23.5703125" customWidth="1"/>
    <col min="5" max="5" width="25.5703125" customWidth="1"/>
    <col min="6" max="6" width="93.42578125" style="2" customWidth="1"/>
    <col min="7" max="7" width="15" customWidth="1"/>
    <col min="8" max="8" width="18.140625" customWidth="1"/>
    <col min="9" max="9" width="15.140625" style="10" customWidth="1"/>
  </cols>
  <sheetData>
    <row r="1" spans="1:9" ht="15.75" x14ac:dyDescent="0.25">
      <c r="A1" s="20" t="s">
        <v>133</v>
      </c>
      <c r="B1" s="21" t="s">
        <v>134</v>
      </c>
      <c r="C1" s="21" t="s">
        <v>135</v>
      </c>
      <c r="D1" s="21" t="s">
        <v>0</v>
      </c>
      <c r="E1" s="21" t="s">
        <v>1</v>
      </c>
      <c r="F1" s="21" t="s">
        <v>136</v>
      </c>
      <c r="G1" s="21" t="s">
        <v>137</v>
      </c>
      <c r="H1" s="21" t="s">
        <v>4</v>
      </c>
      <c r="I1" s="22" t="s">
        <v>138</v>
      </c>
    </row>
    <row r="2" spans="1:9" ht="30" x14ac:dyDescent="0.25">
      <c r="A2" s="11" t="s">
        <v>125</v>
      </c>
      <c r="B2">
        <v>2024</v>
      </c>
      <c r="C2" t="s">
        <v>626</v>
      </c>
      <c r="D2" t="s">
        <v>14</v>
      </c>
      <c r="E2" t="s">
        <v>396</v>
      </c>
      <c r="F2" s="2" t="s">
        <v>397</v>
      </c>
      <c r="G2">
        <v>71</v>
      </c>
      <c r="H2">
        <v>72</v>
      </c>
      <c r="I2" s="10">
        <v>0.98611111111111116</v>
      </c>
    </row>
    <row r="3" spans="1:9" ht="30" x14ac:dyDescent="0.25">
      <c r="A3" s="11" t="s">
        <v>125</v>
      </c>
      <c r="B3">
        <v>2024</v>
      </c>
      <c r="C3" t="s">
        <v>627</v>
      </c>
      <c r="D3" t="s">
        <v>14</v>
      </c>
      <c r="E3" t="s">
        <v>396</v>
      </c>
      <c r="F3" s="2" t="s">
        <v>397</v>
      </c>
      <c r="G3">
        <v>90</v>
      </c>
      <c r="H3">
        <v>90</v>
      </c>
      <c r="I3" s="10">
        <v>1</v>
      </c>
    </row>
    <row r="4" spans="1:9" ht="30" x14ac:dyDescent="0.25">
      <c r="A4" s="11" t="s">
        <v>125</v>
      </c>
      <c r="B4">
        <v>2024</v>
      </c>
      <c r="C4" t="s">
        <v>628</v>
      </c>
      <c r="D4" t="s">
        <v>14</v>
      </c>
      <c r="E4" t="s">
        <v>396</v>
      </c>
      <c r="F4" s="2" t="s">
        <v>397</v>
      </c>
      <c r="G4">
        <v>81</v>
      </c>
      <c r="H4">
        <v>82</v>
      </c>
      <c r="I4" s="10">
        <v>0.98780487804878048</v>
      </c>
    </row>
    <row r="5" spans="1:9" ht="30" x14ac:dyDescent="0.25">
      <c r="A5" s="11" t="s">
        <v>125</v>
      </c>
      <c r="B5">
        <v>2024</v>
      </c>
      <c r="C5" t="s">
        <v>629</v>
      </c>
      <c r="D5" t="s">
        <v>14</v>
      </c>
      <c r="E5" t="s">
        <v>396</v>
      </c>
      <c r="F5" s="2" t="s">
        <v>397</v>
      </c>
      <c r="G5">
        <v>77</v>
      </c>
      <c r="H5">
        <v>77</v>
      </c>
      <c r="I5" s="10">
        <v>1</v>
      </c>
    </row>
    <row r="6" spans="1:9" x14ac:dyDescent="0.25">
      <c r="A6" s="11" t="s">
        <v>612</v>
      </c>
      <c r="B6">
        <v>2024</v>
      </c>
      <c r="C6" t="s">
        <v>626</v>
      </c>
      <c r="D6" t="s">
        <v>15</v>
      </c>
      <c r="E6" t="s">
        <v>36</v>
      </c>
      <c r="F6" s="2" t="s">
        <v>57</v>
      </c>
      <c r="G6">
        <v>14</v>
      </c>
      <c r="H6">
        <v>2049</v>
      </c>
      <c r="I6" s="10">
        <v>6.8326012689116644E-3</v>
      </c>
    </row>
    <row r="7" spans="1:9" x14ac:dyDescent="0.25">
      <c r="A7" s="11" t="s">
        <v>612</v>
      </c>
      <c r="B7">
        <v>2024</v>
      </c>
      <c r="C7" t="s">
        <v>627</v>
      </c>
      <c r="D7" t="s">
        <v>15</v>
      </c>
      <c r="E7" t="s">
        <v>36</v>
      </c>
      <c r="F7" s="2" t="s">
        <v>57</v>
      </c>
      <c r="G7">
        <v>7</v>
      </c>
      <c r="H7">
        <v>1882</v>
      </c>
      <c r="I7" s="10">
        <v>3.7194473963868225E-3</v>
      </c>
    </row>
    <row r="8" spans="1:9" x14ac:dyDescent="0.25">
      <c r="A8" s="11" t="s">
        <v>612</v>
      </c>
      <c r="B8">
        <v>2024</v>
      </c>
      <c r="C8" t="s">
        <v>628</v>
      </c>
      <c r="D8" t="s">
        <v>15</v>
      </c>
      <c r="E8" t="s">
        <v>36</v>
      </c>
      <c r="F8" s="2" t="s">
        <v>57</v>
      </c>
      <c r="G8">
        <v>3</v>
      </c>
      <c r="H8">
        <v>1200</v>
      </c>
      <c r="I8" s="10">
        <v>2.5000000000000001E-3</v>
      </c>
    </row>
    <row r="9" spans="1:9" x14ac:dyDescent="0.25">
      <c r="A9" s="11" t="s">
        <v>612</v>
      </c>
      <c r="B9">
        <v>2024</v>
      </c>
      <c r="C9" t="s">
        <v>629</v>
      </c>
      <c r="D9" t="s">
        <v>15</v>
      </c>
      <c r="E9" t="s">
        <v>36</v>
      </c>
      <c r="F9" s="2" t="s">
        <v>57</v>
      </c>
      <c r="G9">
        <v>9</v>
      </c>
      <c r="H9">
        <v>1236</v>
      </c>
      <c r="I9" s="10">
        <v>7.2815533980582527E-3</v>
      </c>
    </row>
    <row r="10" spans="1:9" ht="30" x14ac:dyDescent="0.25">
      <c r="A10" s="11" t="s">
        <v>612</v>
      </c>
      <c r="B10">
        <v>2024</v>
      </c>
      <c r="C10" t="s">
        <v>626</v>
      </c>
      <c r="D10" t="s">
        <v>15</v>
      </c>
      <c r="E10" t="s">
        <v>37</v>
      </c>
      <c r="F10" s="2" t="s">
        <v>58</v>
      </c>
      <c r="G10">
        <v>52</v>
      </c>
      <c r="H10">
        <v>59</v>
      </c>
      <c r="I10" s="10">
        <v>0.88135593220338981</v>
      </c>
    </row>
    <row r="11" spans="1:9" ht="30" x14ac:dyDescent="0.25">
      <c r="A11" s="11" t="s">
        <v>612</v>
      </c>
      <c r="B11">
        <v>2024</v>
      </c>
      <c r="C11" t="s">
        <v>627</v>
      </c>
      <c r="D11" t="s">
        <v>15</v>
      </c>
      <c r="E11" t="s">
        <v>37</v>
      </c>
      <c r="F11" s="2" t="s">
        <v>58</v>
      </c>
      <c r="G11">
        <v>56</v>
      </c>
      <c r="H11">
        <v>59</v>
      </c>
      <c r="I11" s="10">
        <v>0.94915254237288138</v>
      </c>
    </row>
    <row r="12" spans="1:9" ht="30" x14ac:dyDescent="0.25">
      <c r="A12" s="11" t="s">
        <v>612</v>
      </c>
      <c r="B12">
        <v>2024</v>
      </c>
      <c r="C12" t="s">
        <v>139</v>
      </c>
      <c r="D12" t="s">
        <v>15</v>
      </c>
      <c r="E12" t="s">
        <v>38</v>
      </c>
      <c r="F12" s="2" t="s">
        <v>618</v>
      </c>
      <c r="G12">
        <v>21</v>
      </c>
      <c r="H12">
        <v>21</v>
      </c>
      <c r="I12" s="10">
        <v>1</v>
      </c>
    </row>
    <row r="13" spans="1:9" ht="30" x14ac:dyDescent="0.25">
      <c r="A13" s="11" t="s">
        <v>612</v>
      </c>
      <c r="B13">
        <v>2024</v>
      </c>
      <c r="C13" t="s">
        <v>140</v>
      </c>
      <c r="D13" t="s">
        <v>15</v>
      </c>
      <c r="E13" t="s">
        <v>38</v>
      </c>
      <c r="F13" s="2" t="s">
        <v>618</v>
      </c>
      <c r="G13">
        <v>37</v>
      </c>
      <c r="H13">
        <v>37</v>
      </c>
      <c r="I13" s="10">
        <v>1</v>
      </c>
    </row>
    <row r="14" spans="1:9" ht="30" x14ac:dyDescent="0.25">
      <c r="A14" s="11" t="s">
        <v>612</v>
      </c>
      <c r="B14">
        <v>2024</v>
      </c>
      <c r="C14" t="s">
        <v>626</v>
      </c>
      <c r="D14" t="s">
        <v>15</v>
      </c>
      <c r="E14" t="s">
        <v>38</v>
      </c>
      <c r="F14" s="2" t="s">
        <v>618</v>
      </c>
      <c r="G14">
        <v>27</v>
      </c>
      <c r="H14">
        <v>27</v>
      </c>
      <c r="I14" s="10">
        <v>1</v>
      </c>
    </row>
    <row r="15" spans="1:9" ht="30" x14ac:dyDescent="0.25">
      <c r="A15" s="11" t="s">
        <v>612</v>
      </c>
      <c r="B15">
        <v>2024</v>
      </c>
      <c r="C15" t="s">
        <v>630</v>
      </c>
      <c r="D15" t="s">
        <v>15</v>
      </c>
      <c r="E15" t="s">
        <v>38</v>
      </c>
      <c r="F15" s="2" t="s">
        <v>618</v>
      </c>
      <c r="G15">
        <v>20</v>
      </c>
      <c r="H15">
        <v>20</v>
      </c>
      <c r="I15" s="10">
        <v>1</v>
      </c>
    </row>
    <row r="16" spans="1:9" ht="30" x14ac:dyDescent="0.25">
      <c r="A16" s="11" t="s">
        <v>612</v>
      </c>
      <c r="B16">
        <v>2024</v>
      </c>
      <c r="C16" t="s">
        <v>142</v>
      </c>
      <c r="D16" t="s">
        <v>15</v>
      </c>
      <c r="E16" t="s">
        <v>38</v>
      </c>
      <c r="F16" s="2" t="s">
        <v>618</v>
      </c>
      <c r="G16">
        <v>12</v>
      </c>
      <c r="H16">
        <v>12</v>
      </c>
      <c r="I16" s="10">
        <v>1</v>
      </c>
    </row>
    <row r="17" spans="1:9" x14ac:dyDescent="0.25">
      <c r="A17" s="11" t="s">
        <v>612</v>
      </c>
      <c r="B17">
        <v>2024</v>
      </c>
      <c r="C17" t="s">
        <v>626</v>
      </c>
      <c r="D17" t="s">
        <v>15</v>
      </c>
      <c r="E17" t="s">
        <v>613</v>
      </c>
      <c r="F17" s="2" t="s">
        <v>614</v>
      </c>
      <c r="G17">
        <v>4</v>
      </c>
      <c r="H17">
        <v>4</v>
      </c>
      <c r="I17" s="10">
        <v>1</v>
      </c>
    </row>
    <row r="18" spans="1:9" x14ac:dyDescent="0.25">
      <c r="A18" s="11" t="s">
        <v>612</v>
      </c>
      <c r="B18">
        <v>2024</v>
      </c>
      <c r="C18" t="s">
        <v>627</v>
      </c>
      <c r="D18" t="s">
        <v>15</v>
      </c>
      <c r="E18" t="s">
        <v>613</v>
      </c>
      <c r="F18" s="2" t="s">
        <v>614</v>
      </c>
      <c r="G18">
        <v>4</v>
      </c>
      <c r="H18">
        <v>4</v>
      </c>
      <c r="I18" s="10">
        <v>1</v>
      </c>
    </row>
    <row r="19" spans="1:9" ht="30" x14ac:dyDescent="0.25">
      <c r="A19" s="11" t="s">
        <v>145</v>
      </c>
      <c r="B19">
        <v>2024</v>
      </c>
      <c r="C19" t="s">
        <v>626</v>
      </c>
      <c r="D19" t="s">
        <v>11</v>
      </c>
      <c r="E19" t="s">
        <v>184</v>
      </c>
      <c r="F19" s="2" t="s">
        <v>193</v>
      </c>
      <c r="G19">
        <v>114</v>
      </c>
      <c r="H19">
        <v>133</v>
      </c>
      <c r="I19" s="10">
        <v>0.8571428571428571</v>
      </c>
    </row>
    <row r="20" spans="1:9" ht="30" x14ac:dyDescent="0.25">
      <c r="A20" s="11" t="s">
        <v>145</v>
      </c>
      <c r="B20">
        <v>2024</v>
      </c>
      <c r="C20" t="s">
        <v>627</v>
      </c>
      <c r="D20" t="s">
        <v>11</v>
      </c>
      <c r="E20" t="s">
        <v>184</v>
      </c>
      <c r="F20" s="2" t="s">
        <v>193</v>
      </c>
      <c r="G20">
        <v>105</v>
      </c>
      <c r="H20">
        <v>126</v>
      </c>
      <c r="I20" s="10">
        <v>0.83333333333333337</v>
      </c>
    </row>
    <row r="21" spans="1:9" ht="30" x14ac:dyDescent="0.25">
      <c r="A21" s="11" t="s">
        <v>145</v>
      </c>
      <c r="B21">
        <v>2024</v>
      </c>
      <c r="C21" t="s">
        <v>628</v>
      </c>
      <c r="D21" t="s">
        <v>11</v>
      </c>
      <c r="E21" t="s">
        <v>184</v>
      </c>
      <c r="F21" s="2" t="s">
        <v>193</v>
      </c>
      <c r="G21">
        <v>85</v>
      </c>
      <c r="H21">
        <v>99</v>
      </c>
      <c r="I21" s="10">
        <v>0.85858585858585856</v>
      </c>
    </row>
    <row r="22" spans="1:9" ht="30" x14ac:dyDescent="0.25">
      <c r="A22" s="11" t="s">
        <v>145</v>
      </c>
      <c r="B22">
        <v>2024</v>
      </c>
      <c r="C22" t="s">
        <v>629</v>
      </c>
      <c r="D22" t="s">
        <v>11</v>
      </c>
      <c r="E22" t="s">
        <v>184</v>
      </c>
      <c r="F22" s="2" t="s">
        <v>193</v>
      </c>
      <c r="G22">
        <v>41</v>
      </c>
      <c r="H22">
        <v>45</v>
      </c>
      <c r="I22" s="10">
        <v>0.91111111111111109</v>
      </c>
    </row>
    <row r="23" spans="1:9" ht="30" x14ac:dyDescent="0.25">
      <c r="A23" s="11" t="s">
        <v>145</v>
      </c>
      <c r="B23">
        <v>2024</v>
      </c>
      <c r="C23" t="s">
        <v>626</v>
      </c>
      <c r="D23" t="s">
        <v>11</v>
      </c>
      <c r="E23" t="s">
        <v>20</v>
      </c>
      <c r="F23" s="2" t="s">
        <v>236</v>
      </c>
      <c r="G23">
        <v>0</v>
      </c>
      <c r="H23">
        <v>1</v>
      </c>
      <c r="I23" s="10">
        <v>0</v>
      </c>
    </row>
    <row r="24" spans="1:9" ht="30" x14ac:dyDescent="0.25">
      <c r="A24" s="11" t="s">
        <v>145</v>
      </c>
      <c r="B24">
        <v>2024</v>
      </c>
      <c r="C24" t="s">
        <v>627</v>
      </c>
      <c r="D24" t="s">
        <v>11</v>
      </c>
      <c r="E24" t="s">
        <v>20</v>
      </c>
      <c r="F24" s="2" t="s">
        <v>236</v>
      </c>
      <c r="G24">
        <v>2</v>
      </c>
      <c r="H24">
        <v>2</v>
      </c>
      <c r="I24" s="10">
        <v>1</v>
      </c>
    </row>
    <row r="25" spans="1:9" ht="30" x14ac:dyDescent="0.25">
      <c r="A25" s="11" t="s">
        <v>145</v>
      </c>
      <c r="B25">
        <v>2024</v>
      </c>
      <c r="C25" t="s">
        <v>628</v>
      </c>
      <c r="D25" t="s">
        <v>11</v>
      </c>
      <c r="E25" t="s">
        <v>20</v>
      </c>
      <c r="F25" s="2" t="s">
        <v>236</v>
      </c>
      <c r="G25">
        <v>0</v>
      </c>
      <c r="H25">
        <v>0</v>
      </c>
    </row>
    <row r="26" spans="1:9" ht="30" x14ac:dyDescent="0.25">
      <c r="A26" s="11" t="s">
        <v>145</v>
      </c>
      <c r="B26">
        <v>2024</v>
      </c>
      <c r="C26" t="s">
        <v>629</v>
      </c>
      <c r="D26" t="s">
        <v>11</v>
      </c>
      <c r="E26" t="s">
        <v>20</v>
      </c>
      <c r="F26" s="2" t="s">
        <v>236</v>
      </c>
      <c r="G26">
        <v>0</v>
      </c>
      <c r="H26">
        <v>0</v>
      </c>
    </row>
    <row r="27" spans="1:9" ht="30" x14ac:dyDescent="0.25">
      <c r="A27" s="11" t="s">
        <v>145</v>
      </c>
      <c r="B27">
        <v>2024</v>
      </c>
      <c r="C27" t="s">
        <v>626</v>
      </c>
      <c r="D27" t="s">
        <v>11</v>
      </c>
      <c r="E27" t="s">
        <v>21</v>
      </c>
      <c r="F27" s="2" t="s">
        <v>240</v>
      </c>
      <c r="G27">
        <v>45</v>
      </c>
      <c r="H27">
        <v>45</v>
      </c>
      <c r="I27" s="10">
        <v>1</v>
      </c>
    </row>
    <row r="28" spans="1:9" ht="30" x14ac:dyDescent="0.25">
      <c r="A28" s="11" t="s">
        <v>145</v>
      </c>
      <c r="B28">
        <v>2024</v>
      </c>
      <c r="C28" t="s">
        <v>627</v>
      </c>
      <c r="D28" t="s">
        <v>11</v>
      </c>
      <c r="E28" t="s">
        <v>21</v>
      </c>
      <c r="F28" s="2" t="s">
        <v>240</v>
      </c>
      <c r="G28">
        <v>45</v>
      </c>
      <c r="H28">
        <v>45</v>
      </c>
      <c r="I28" s="10">
        <v>1</v>
      </c>
    </row>
    <row r="29" spans="1:9" ht="30" x14ac:dyDescent="0.25">
      <c r="A29" s="11" t="s">
        <v>145</v>
      </c>
      <c r="B29">
        <v>2024</v>
      </c>
      <c r="C29" t="s">
        <v>628</v>
      </c>
      <c r="D29" t="s">
        <v>11</v>
      </c>
      <c r="E29" t="s">
        <v>21</v>
      </c>
      <c r="F29" s="2" t="s">
        <v>240</v>
      </c>
      <c r="G29">
        <v>45</v>
      </c>
      <c r="H29">
        <v>45</v>
      </c>
      <c r="I29" s="10">
        <v>1</v>
      </c>
    </row>
    <row r="30" spans="1:9" ht="30" x14ac:dyDescent="0.25">
      <c r="A30" s="11" t="s">
        <v>145</v>
      </c>
      <c r="B30">
        <v>2024</v>
      </c>
      <c r="C30" t="s">
        <v>626</v>
      </c>
      <c r="D30" t="s">
        <v>11</v>
      </c>
      <c r="E30" t="s">
        <v>261</v>
      </c>
      <c r="F30" s="2" t="s">
        <v>262</v>
      </c>
      <c r="G30">
        <v>39</v>
      </c>
      <c r="H30">
        <v>39</v>
      </c>
      <c r="I30" s="10">
        <v>1</v>
      </c>
    </row>
    <row r="31" spans="1:9" ht="30" x14ac:dyDescent="0.25">
      <c r="A31" s="11" t="s">
        <v>145</v>
      </c>
      <c r="B31">
        <v>2024</v>
      </c>
      <c r="C31" t="s">
        <v>627</v>
      </c>
      <c r="D31" t="s">
        <v>11</v>
      </c>
      <c r="E31" t="s">
        <v>261</v>
      </c>
      <c r="F31" s="2" t="s">
        <v>262</v>
      </c>
      <c r="G31">
        <v>38</v>
      </c>
      <c r="H31">
        <v>39</v>
      </c>
      <c r="I31" s="10">
        <v>0.97435897435897434</v>
      </c>
    </row>
    <row r="32" spans="1:9" ht="30" x14ac:dyDescent="0.25">
      <c r="A32" s="11" t="s">
        <v>145</v>
      </c>
      <c r="B32">
        <v>2024</v>
      </c>
      <c r="C32" t="s">
        <v>628</v>
      </c>
      <c r="D32" t="s">
        <v>11</v>
      </c>
      <c r="E32" t="s">
        <v>261</v>
      </c>
      <c r="F32" s="2" t="s">
        <v>262</v>
      </c>
      <c r="G32">
        <v>40</v>
      </c>
      <c r="H32">
        <v>42</v>
      </c>
      <c r="I32" s="10">
        <v>0.95238095238095233</v>
      </c>
    </row>
    <row r="33" spans="1:9" ht="30" x14ac:dyDescent="0.25">
      <c r="A33" s="11" t="s">
        <v>145</v>
      </c>
      <c r="B33">
        <v>2024</v>
      </c>
      <c r="C33" t="s">
        <v>629</v>
      </c>
      <c r="D33" t="s">
        <v>11</v>
      </c>
      <c r="E33" t="s">
        <v>261</v>
      </c>
      <c r="F33" s="2" t="s">
        <v>262</v>
      </c>
      <c r="G33">
        <v>36</v>
      </c>
      <c r="H33">
        <v>36</v>
      </c>
      <c r="I33" s="10">
        <v>1</v>
      </c>
    </row>
    <row r="34" spans="1:9" ht="30" x14ac:dyDescent="0.25">
      <c r="A34" s="11" t="s">
        <v>145</v>
      </c>
      <c r="B34">
        <v>2024</v>
      </c>
      <c r="C34" t="s">
        <v>626</v>
      </c>
      <c r="D34" t="s">
        <v>11</v>
      </c>
      <c r="E34" t="s">
        <v>273</v>
      </c>
      <c r="F34" s="2" t="s">
        <v>274</v>
      </c>
      <c r="G34">
        <v>27</v>
      </c>
      <c r="H34">
        <v>39</v>
      </c>
      <c r="I34" s="10">
        <v>0.69230769230769229</v>
      </c>
    </row>
    <row r="35" spans="1:9" ht="30" x14ac:dyDescent="0.25">
      <c r="A35" s="11" t="s">
        <v>145</v>
      </c>
      <c r="B35">
        <v>2024</v>
      </c>
      <c r="C35" t="s">
        <v>627</v>
      </c>
      <c r="D35" t="s">
        <v>11</v>
      </c>
      <c r="E35" t="s">
        <v>273</v>
      </c>
      <c r="F35" s="2" t="s">
        <v>274</v>
      </c>
      <c r="G35">
        <v>34</v>
      </c>
      <c r="H35">
        <v>39</v>
      </c>
      <c r="I35" s="10">
        <v>0.87179487179487181</v>
      </c>
    </row>
    <row r="36" spans="1:9" ht="30" x14ac:dyDescent="0.25">
      <c r="A36" s="11" t="s">
        <v>145</v>
      </c>
      <c r="B36">
        <v>2024</v>
      </c>
      <c r="C36" t="s">
        <v>628</v>
      </c>
      <c r="D36" t="s">
        <v>11</v>
      </c>
      <c r="E36" t="s">
        <v>273</v>
      </c>
      <c r="F36" s="2" t="s">
        <v>274</v>
      </c>
      <c r="G36">
        <v>35</v>
      </c>
      <c r="H36">
        <v>42</v>
      </c>
      <c r="I36" s="10">
        <v>0.83333333333333337</v>
      </c>
    </row>
    <row r="37" spans="1:9" ht="30" x14ac:dyDescent="0.25">
      <c r="A37" s="11" t="s">
        <v>145</v>
      </c>
      <c r="B37">
        <v>2024</v>
      </c>
      <c r="C37" t="s">
        <v>629</v>
      </c>
      <c r="D37" t="s">
        <v>11</v>
      </c>
      <c r="E37" t="s">
        <v>273</v>
      </c>
      <c r="F37" s="2" t="s">
        <v>274</v>
      </c>
      <c r="G37">
        <v>29</v>
      </c>
      <c r="H37">
        <v>33</v>
      </c>
      <c r="I37" s="10">
        <f>29/33</f>
        <v>0.87878787878787878</v>
      </c>
    </row>
    <row r="38" spans="1:9" x14ac:dyDescent="0.25">
      <c r="A38" s="11" t="s">
        <v>145</v>
      </c>
      <c r="B38">
        <v>2024</v>
      </c>
      <c r="C38" t="s">
        <v>626</v>
      </c>
      <c r="D38" t="s">
        <v>14</v>
      </c>
      <c r="E38" t="s">
        <v>315</v>
      </c>
      <c r="F38" s="2" t="s">
        <v>44</v>
      </c>
      <c r="G38">
        <v>16</v>
      </c>
      <c r="H38">
        <v>18</v>
      </c>
      <c r="I38" s="10">
        <v>0.88888888888888884</v>
      </c>
    </row>
    <row r="39" spans="1:9" x14ac:dyDescent="0.25">
      <c r="A39" s="11" t="s">
        <v>145</v>
      </c>
      <c r="B39">
        <v>2024</v>
      </c>
      <c r="C39" t="s">
        <v>627</v>
      </c>
      <c r="D39" t="s">
        <v>14</v>
      </c>
      <c r="E39" t="s">
        <v>315</v>
      </c>
      <c r="F39" s="2" t="s">
        <v>44</v>
      </c>
      <c r="G39">
        <v>21</v>
      </c>
      <c r="H39">
        <v>35</v>
      </c>
      <c r="I39" s="10">
        <v>0.6</v>
      </c>
    </row>
    <row r="40" spans="1:9" x14ac:dyDescent="0.25">
      <c r="A40" s="11" t="s">
        <v>145</v>
      </c>
      <c r="B40">
        <v>2024</v>
      </c>
      <c r="C40" t="s">
        <v>628</v>
      </c>
      <c r="D40" t="s">
        <v>14</v>
      </c>
      <c r="E40" t="s">
        <v>315</v>
      </c>
      <c r="F40" s="2" t="s">
        <v>44</v>
      </c>
      <c r="G40">
        <v>29</v>
      </c>
      <c r="H40">
        <v>33</v>
      </c>
      <c r="I40" s="10">
        <v>0.87878787878787878</v>
      </c>
    </row>
    <row r="41" spans="1:9" x14ac:dyDescent="0.25">
      <c r="A41" s="11" t="s">
        <v>145</v>
      </c>
      <c r="B41">
        <v>2024</v>
      </c>
      <c r="C41" t="s">
        <v>629</v>
      </c>
      <c r="D41" t="s">
        <v>14</v>
      </c>
      <c r="E41" t="s">
        <v>315</v>
      </c>
      <c r="F41" s="2" t="s">
        <v>44</v>
      </c>
      <c r="G41">
        <v>29</v>
      </c>
      <c r="H41">
        <v>30</v>
      </c>
      <c r="I41" s="10">
        <v>0.96666666666666667</v>
      </c>
    </row>
    <row r="42" spans="1:9" x14ac:dyDescent="0.25">
      <c r="A42" s="11" t="s">
        <v>145</v>
      </c>
      <c r="B42">
        <v>2024</v>
      </c>
      <c r="C42" t="s">
        <v>626</v>
      </c>
      <c r="D42" t="s">
        <v>14</v>
      </c>
      <c r="E42" t="s">
        <v>353</v>
      </c>
      <c r="F42" s="2" t="s">
        <v>363</v>
      </c>
      <c r="G42">
        <v>15</v>
      </c>
      <c r="H42">
        <v>18</v>
      </c>
      <c r="I42" s="10">
        <v>0.83333333333333337</v>
      </c>
    </row>
    <row r="43" spans="1:9" x14ac:dyDescent="0.25">
      <c r="A43" s="11" t="s">
        <v>145</v>
      </c>
      <c r="B43">
        <v>2024</v>
      </c>
      <c r="C43" t="s">
        <v>627</v>
      </c>
      <c r="D43" t="s">
        <v>14</v>
      </c>
      <c r="E43" t="s">
        <v>353</v>
      </c>
      <c r="F43" s="2" t="s">
        <v>363</v>
      </c>
      <c r="G43">
        <v>35</v>
      </c>
      <c r="H43">
        <v>35</v>
      </c>
      <c r="I43" s="10">
        <v>1</v>
      </c>
    </row>
    <row r="44" spans="1:9" x14ac:dyDescent="0.25">
      <c r="A44" s="11" t="s">
        <v>145</v>
      </c>
      <c r="B44">
        <v>2024</v>
      </c>
      <c r="C44" t="s">
        <v>628</v>
      </c>
      <c r="D44" t="s">
        <v>14</v>
      </c>
      <c r="E44" t="s">
        <v>353</v>
      </c>
      <c r="F44" s="2" t="s">
        <v>363</v>
      </c>
      <c r="G44">
        <v>33</v>
      </c>
      <c r="H44">
        <v>33</v>
      </c>
      <c r="I44" s="10">
        <v>1</v>
      </c>
    </row>
    <row r="45" spans="1:9" x14ac:dyDescent="0.25">
      <c r="A45" s="11" t="s">
        <v>145</v>
      </c>
      <c r="B45">
        <v>2024</v>
      </c>
      <c r="C45" t="s">
        <v>629</v>
      </c>
      <c r="D45" t="s">
        <v>14</v>
      </c>
      <c r="E45" t="s">
        <v>353</v>
      </c>
      <c r="F45" s="2" t="s">
        <v>363</v>
      </c>
      <c r="G45">
        <v>29</v>
      </c>
      <c r="H45">
        <v>30</v>
      </c>
      <c r="I45" s="10">
        <v>0.96666666666666667</v>
      </c>
    </row>
    <row r="46" spans="1:9" ht="30" x14ac:dyDescent="0.25">
      <c r="A46" s="11" t="s">
        <v>146</v>
      </c>
      <c r="B46">
        <v>2024</v>
      </c>
      <c r="C46" t="s">
        <v>626</v>
      </c>
      <c r="D46" t="s">
        <v>11</v>
      </c>
      <c r="E46" t="s">
        <v>209</v>
      </c>
      <c r="F46" s="2" t="s">
        <v>216</v>
      </c>
      <c r="G46">
        <v>29</v>
      </c>
      <c r="H46">
        <v>35</v>
      </c>
      <c r="I46" s="10">
        <v>0.82857142857142863</v>
      </c>
    </row>
    <row r="47" spans="1:9" ht="30" x14ac:dyDescent="0.25">
      <c r="A47" s="11" t="s">
        <v>146</v>
      </c>
      <c r="B47">
        <v>2024</v>
      </c>
      <c r="C47" t="s">
        <v>627</v>
      </c>
      <c r="D47" t="s">
        <v>11</v>
      </c>
      <c r="E47" t="s">
        <v>209</v>
      </c>
      <c r="F47" s="2" t="s">
        <v>216</v>
      </c>
      <c r="G47">
        <v>36</v>
      </c>
      <c r="H47">
        <v>38</v>
      </c>
      <c r="I47" s="10">
        <v>0.94736842105263153</v>
      </c>
    </row>
    <row r="48" spans="1:9" ht="30" x14ac:dyDescent="0.25">
      <c r="A48" s="11" t="s">
        <v>146</v>
      </c>
      <c r="B48">
        <v>2024</v>
      </c>
      <c r="C48" t="s">
        <v>628</v>
      </c>
      <c r="D48" t="s">
        <v>11</v>
      </c>
      <c r="E48" t="s">
        <v>209</v>
      </c>
      <c r="F48" s="2" t="s">
        <v>216</v>
      </c>
      <c r="G48">
        <v>36</v>
      </c>
      <c r="H48">
        <v>37</v>
      </c>
      <c r="I48" s="10">
        <v>0.97297297297297303</v>
      </c>
    </row>
    <row r="49" spans="1:9" ht="30" x14ac:dyDescent="0.25">
      <c r="A49" s="11" t="s">
        <v>146</v>
      </c>
      <c r="B49">
        <v>2024</v>
      </c>
      <c r="C49" t="s">
        <v>629</v>
      </c>
      <c r="D49" t="s">
        <v>11</v>
      </c>
      <c r="E49" t="s">
        <v>209</v>
      </c>
      <c r="F49" s="2" t="s">
        <v>216</v>
      </c>
      <c r="G49">
        <v>30</v>
      </c>
      <c r="H49">
        <v>36</v>
      </c>
      <c r="I49" s="10">
        <v>0.83333333333333337</v>
      </c>
    </row>
    <row r="50" spans="1:9" ht="30" x14ac:dyDescent="0.25">
      <c r="A50" s="11" t="s">
        <v>146</v>
      </c>
      <c r="B50">
        <v>2024</v>
      </c>
      <c r="C50" t="s">
        <v>626</v>
      </c>
      <c r="D50" t="s">
        <v>11</v>
      </c>
      <c r="E50" t="s">
        <v>261</v>
      </c>
      <c r="F50" s="2" t="s">
        <v>262</v>
      </c>
      <c r="G50">
        <v>38</v>
      </c>
      <c r="H50">
        <v>39</v>
      </c>
      <c r="I50" s="10">
        <v>0.97435897435897434</v>
      </c>
    </row>
    <row r="51" spans="1:9" ht="30" x14ac:dyDescent="0.25">
      <c r="A51" s="11" t="s">
        <v>146</v>
      </c>
      <c r="B51">
        <v>2024</v>
      </c>
      <c r="C51" t="s">
        <v>627</v>
      </c>
      <c r="D51" t="s">
        <v>11</v>
      </c>
      <c r="E51" t="s">
        <v>261</v>
      </c>
      <c r="F51" s="2" t="s">
        <v>262</v>
      </c>
      <c r="G51">
        <v>39</v>
      </c>
      <c r="H51">
        <v>39</v>
      </c>
      <c r="I51" s="10">
        <v>1</v>
      </c>
    </row>
    <row r="52" spans="1:9" ht="30" x14ac:dyDescent="0.25">
      <c r="A52" s="11" t="s">
        <v>146</v>
      </c>
      <c r="B52">
        <v>2024</v>
      </c>
      <c r="C52" t="s">
        <v>628</v>
      </c>
      <c r="D52" t="s">
        <v>11</v>
      </c>
      <c r="E52" t="s">
        <v>261</v>
      </c>
      <c r="F52" s="2" t="s">
        <v>262</v>
      </c>
      <c r="G52">
        <v>22</v>
      </c>
      <c r="H52">
        <v>39</v>
      </c>
      <c r="I52" s="10">
        <v>0.5641025641025641</v>
      </c>
    </row>
    <row r="53" spans="1:9" ht="30" x14ac:dyDescent="0.25">
      <c r="A53" s="11" t="s">
        <v>146</v>
      </c>
      <c r="B53">
        <v>2024</v>
      </c>
      <c r="C53" t="s">
        <v>629</v>
      </c>
      <c r="D53" t="s">
        <v>11</v>
      </c>
      <c r="E53" t="s">
        <v>261</v>
      </c>
      <c r="F53" s="2" t="s">
        <v>262</v>
      </c>
      <c r="G53">
        <v>28</v>
      </c>
      <c r="H53">
        <v>39</v>
      </c>
      <c r="I53" s="10">
        <f>G53/H53</f>
        <v>0.71794871794871795</v>
      </c>
    </row>
    <row r="54" spans="1:9" ht="30" x14ac:dyDescent="0.25">
      <c r="A54" s="11" t="s">
        <v>146</v>
      </c>
      <c r="B54">
        <v>2024</v>
      </c>
      <c r="C54" t="s">
        <v>626</v>
      </c>
      <c r="D54" t="s">
        <v>11</v>
      </c>
      <c r="E54" t="s">
        <v>273</v>
      </c>
      <c r="F54" s="2" t="s">
        <v>274</v>
      </c>
      <c r="G54">
        <v>62</v>
      </c>
      <c r="H54">
        <v>78</v>
      </c>
      <c r="I54" s="10">
        <v>0.79487179487179482</v>
      </c>
    </row>
    <row r="55" spans="1:9" ht="30" x14ac:dyDescent="0.25">
      <c r="A55" s="11" t="s">
        <v>146</v>
      </c>
      <c r="B55">
        <v>2024</v>
      </c>
      <c r="C55" t="s">
        <v>627</v>
      </c>
      <c r="D55" t="s">
        <v>11</v>
      </c>
      <c r="E55" t="s">
        <v>273</v>
      </c>
      <c r="F55" s="2" t="s">
        <v>274</v>
      </c>
      <c r="G55">
        <v>57</v>
      </c>
      <c r="H55">
        <v>78</v>
      </c>
      <c r="I55" s="10">
        <v>0.73076923076923073</v>
      </c>
    </row>
    <row r="56" spans="1:9" ht="30" x14ac:dyDescent="0.25">
      <c r="A56" s="11" t="s">
        <v>146</v>
      </c>
      <c r="B56">
        <v>2024</v>
      </c>
      <c r="C56" t="s">
        <v>628</v>
      </c>
      <c r="D56" t="s">
        <v>11</v>
      </c>
      <c r="E56" t="s">
        <v>273</v>
      </c>
      <c r="F56" s="2" t="s">
        <v>274</v>
      </c>
      <c r="G56">
        <v>67</v>
      </c>
      <c r="H56">
        <v>78</v>
      </c>
      <c r="I56" s="10">
        <v>0.85897435897435892</v>
      </c>
    </row>
    <row r="57" spans="1:9" ht="30" x14ac:dyDescent="0.25">
      <c r="A57" s="11" t="s">
        <v>146</v>
      </c>
      <c r="B57">
        <v>2024</v>
      </c>
      <c r="C57" t="s">
        <v>629</v>
      </c>
      <c r="D57" t="s">
        <v>11</v>
      </c>
      <c r="E57" t="s">
        <v>273</v>
      </c>
      <c r="F57" s="2" t="s">
        <v>274</v>
      </c>
      <c r="G57">
        <v>60</v>
      </c>
      <c r="H57">
        <v>78</v>
      </c>
      <c r="I57" s="10">
        <v>0.76923076923076927</v>
      </c>
    </row>
    <row r="58" spans="1:9" ht="30" x14ac:dyDescent="0.25">
      <c r="A58" s="11" t="s">
        <v>146</v>
      </c>
      <c r="B58">
        <v>2024</v>
      </c>
      <c r="C58" t="s">
        <v>626</v>
      </c>
      <c r="D58" t="s">
        <v>14</v>
      </c>
      <c r="E58" t="s">
        <v>315</v>
      </c>
      <c r="F58" s="2" t="s">
        <v>317</v>
      </c>
      <c r="G58">
        <v>30</v>
      </c>
      <c r="H58">
        <v>33</v>
      </c>
      <c r="I58" s="10">
        <v>0.90909090909090906</v>
      </c>
    </row>
    <row r="59" spans="1:9" ht="30" x14ac:dyDescent="0.25">
      <c r="A59" s="11" t="s">
        <v>146</v>
      </c>
      <c r="B59">
        <v>2024</v>
      </c>
      <c r="C59" t="s">
        <v>627</v>
      </c>
      <c r="D59" t="s">
        <v>14</v>
      </c>
      <c r="E59" t="s">
        <v>315</v>
      </c>
      <c r="F59" s="2" t="s">
        <v>317</v>
      </c>
      <c r="G59">
        <v>30</v>
      </c>
      <c r="H59">
        <v>33</v>
      </c>
      <c r="I59" s="10">
        <v>0.90909090909090906</v>
      </c>
    </row>
    <row r="60" spans="1:9" ht="30" x14ac:dyDescent="0.25">
      <c r="A60" s="11" t="s">
        <v>146</v>
      </c>
      <c r="B60">
        <v>2024</v>
      </c>
      <c r="C60" t="s">
        <v>628</v>
      </c>
      <c r="D60" t="s">
        <v>14</v>
      </c>
      <c r="E60" t="s">
        <v>315</v>
      </c>
      <c r="F60" s="2" t="s">
        <v>317</v>
      </c>
      <c r="G60">
        <v>33</v>
      </c>
      <c r="H60">
        <v>33</v>
      </c>
      <c r="I60" s="10">
        <v>1</v>
      </c>
    </row>
    <row r="61" spans="1:9" ht="30" x14ac:dyDescent="0.25">
      <c r="A61" s="11" t="s">
        <v>146</v>
      </c>
      <c r="B61">
        <v>2024</v>
      </c>
      <c r="C61" t="s">
        <v>629</v>
      </c>
      <c r="D61" t="s">
        <v>14</v>
      </c>
      <c r="E61" t="s">
        <v>315</v>
      </c>
      <c r="F61" s="2" t="s">
        <v>317</v>
      </c>
      <c r="G61">
        <v>31</v>
      </c>
      <c r="H61">
        <v>33</v>
      </c>
      <c r="I61" s="10">
        <v>0.93939393939393945</v>
      </c>
    </row>
    <row r="62" spans="1:9" ht="30" x14ac:dyDescent="0.25">
      <c r="A62" s="11" t="s">
        <v>146</v>
      </c>
      <c r="B62">
        <v>2024</v>
      </c>
      <c r="C62" t="s">
        <v>626</v>
      </c>
      <c r="D62" t="s">
        <v>14</v>
      </c>
      <c r="E62" t="s">
        <v>353</v>
      </c>
      <c r="F62" s="2" t="s">
        <v>360</v>
      </c>
      <c r="G62">
        <v>24</v>
      </c>
      <c r="H62">
        <v>33</v>
      </c>
      <c r="I62" s="10">
        <v>0.72727272727272729</v>
      </c>
    </row>
    <row r="63" spans="1:9" ht="30" x14ac:dyDescent="0.25">
      <c r="A63" s="11" t="s">
        <v>146</v>
      </c>
      <c r="B63">
        <v>2024</v>
      </c>
      <c r="C63" t="s">
        <v>627</v>
      </c>
      <c r="D63" t="s">
        <v>14</v>
      </c>
      <c r="E63" t="s">
        <v>353</v>
      </c>
      <c r="F63" s="2" t="s">
        <v>360</v>
      </c>
      <c r="G63">
        <v>30</v>
      </c>
      <c r="H63">
        <v>33</v>
      </c>
      <c r="I63" s="10">
        <v>0.90909090909090906</v>
      </c>
    </row>
    <row r="64" spans="1:9" ht="30" x14ac:dyDescent="0.25">
      <c r="A64" s="11" t="s">
        <v>146</v>
      </c>
      <c r="B64">
        <v>2024</v>
      </c>
      <c r="C64" t="s">
        <v>628</v>
      </c>
      <c r="D64" t="s">
        <v>14</v>
      </c>
      <c r="E64" t="s">
        <v>353</v>
      </c>
      <c r="F64" s="2" t="s">
        <v>360</v>
      </c>
      <c r="G64">
        <v>24</v>
      </c>
      <c r="H64">
        <v>33</v>
      </c>
      <c r="I64" s="10">
        <v>0.72727272727272729</v>
      </c>
    </row>
    <row r="65" spans="1:9" ht="30" x14ac:dyDescent="0.25">
      <c r="A65" s="11" t="s">
        <v>146</v>
      </c>
      <c r="B65">
        <v>2024</v>
      </c>
      <c r="C65" t="s">
        <v>629</v>
      </c>
      <c r="D65" t="s">
        <v>14</v>
      </c>
      <c r="E65" t="s">
        <v>353</v>
      </c>
      <c r="F65" s="2" t="s">
        <v>360</v>
      </c>
      <c r="G65">
        <v>29</v>
      </c>
      <c r="H65">
        <v>33</v>
      </c>
      <c r="I65" s="10">
        <v>0.87878787878787878</v>
      </c>
    </row>
    <row r="66" spans="1:9" ht="30" x14ac:dyDescent="0.25">
      <c r="A66" s="11" t="s">
        <v>305</v>
      </c>
      <c r="B66">
        <v>2024</v>
      </c>
      <c r="C66" t="s">
        <v>626</v>
      </c>
      <c r="D66" t="s">
        <v>12</v>
      </c>
      <c r="E66" t="s">
        <v>301</v>
      </c>
      <c r="F66" s="2" t="s">
        <v>306</v>
      </c>
      <c r="G66">
        <v>637</v>
      </c>
      <c r="H66">
        <v>680</v>
      </c>
      <c r="I66" s="10">
        <v>0.93676470588235294</v>
      </c>
    </row>
    <row r="67" spans="1:9" ht="30" x14ac:dyDescent="0.25">
      <c r="A67" s="11" t="s">
        <v>305</v>
      </c>
      <c r="B67">
        <v>2024</v>
      </c>
      <c r="C67" t="s">
        <v>627</v>
      </c>
      <c r="D67" t="s">
        <v>12</v>
      </c>
      <c r="E67" t="s">
        <v>301</v>
      </c>
      <c r="F67" s="2" t="s">
        <v>306</v>
      </c>
      <c r="G67">
        <v>400</v>
      </c>
      <c r="H67">
        <v>463</v>
      </c>
      <c r="I67" s="10">
        <v>0.86393088552915764</v>
      </c>
    </row>
    <row r="68" spans="1:9" ht="30" x14ac:dyDescent="0.25">
      <c r="A68" s="11" t="s">
        <v>305</v>
      </c>
      <c r="B68">
        <v>2024</v>
      </c>
      <c r="C68" t="s">
        <v>628</v>
      </c>
      <c r="D68" t="s">
        <v>12</v>
      </c>
      <c r="E68" t="s">
        <v>301</v>
      </c>
      <c r="F68" s="2" t="s">
        <v>306</v>
      </c>
      <c r="G68">
        <v>520</v>
      </c>
      <c r="H68">
        <v>662</v>
      </c>
      <c r="I68" s="10">
        <v>0.78549848942598188</v>
      </c>
    </row>
    <row r="69" spans="1:9" ht="30" x14ac:dyDescent="0.25">
      <c r="A69" s="11" t="s">
        <v>305</v>
      </c>
      <c r="B69">
        <v>2024</v>
      </c>
      <c r="C69" t="s">
        <v>626</v>
      </c>
      <c r="D69" t="s">
        <v>15</v>
      </c>
      <c r="E69" t="s">
        <v>514</v>
      </c>
      <c r="F69" s="2" t="s">
        <v>515</v>
      </c>
      <c r="G69">
        <v>11</v>
      </c>
      <c r="H69">
        <v>1839</v>
      </c>
      <c r="I69" s="10">
        <v>5.9815116911364876E-3</v>
      </c>
    </row>
    <row r="70" spans="1:9" ht="30" x14ac:dyDescent="0.25">
      <c r="A70" s="11" t="s">
        <v>305</v>
      </c>
      <c r="B70">
        <v>2024</v>
      </c>
      <c r="C70" t="s">
        <v>627</v>
      </c>
      <c r="D70" t="s">
        <v>15</v>
      </c>
      <c r="E70" t="s">
        <v>514</v>
      </c>
      <c r="F70" s="2" t="s">
        <v>515</v>
      </c>
      <c r="G70">
        <v>12</v>
      </c>
      <c r="H70">
        <v>1859</v>
      </c>
      <c r="I70" s="10">
        <v>6.4550833781603012E-3</v>
      </c>
    </row>
    <row r="71" spans="1:9" ht="30" x14ac:dyDescent="0.25">
      <c r="A71" s="11" t="s">
        <v>305</v>
      </c>
      <c r="B71">
        <v>2024</v>
      </c>
      <c r="C71" t="s">
        <v>628</v>
      </c>
      <c r="D71" t="s">
        <v>15</v>
      </c>
      <c r="E71" t="s">
        <v>514</v>
      </c>
      <c r="F71" s="2" t="s">
        <v>515</v>
      </c>
      <c r="G71">
        <v>3</v>
      </c>
      <c r="H71">
        <v>1846</v>
      </c>
      <c r="I71" s="10">
        <v>1.6251354279523294E-3</v>
      </c>
    </row>
    <row r="72" spans="1:9" x14ac:dyDescent="0.25">
      <c r="A72" s="11" t="s">
        <v>305</v>
      </c>
      <c r="B72">
        <v>2024</v>
      </c>
      <c r="C72" t="s">
        <v>626</v>
      </c>
      <c r="D72" t="s">
        <v>15</v>
      </c>
      <c r="E72" t="s">
        <v>30</v>
      </c>
      <c r="F72" s="2" t="s">
        <v>519</v>
      </c>
      <c r="G72">
        <v>2984</v>
      </c>
      <c r="H72">
        <v>3150</v>
      </c>
      <c r="I72" s="10">
        <v>0.94730158730158731</v>
      </c>
    </row>
    <row r="73" spans="1:9" x14ac:dyDescent="0.25">
      <c r="A73" s="11" t="s">
        <v>305</v>
      </c>
      <c r="B73">
        <v>2024</v>
      </c>
      <c r="C73" t="s">
        <v>627</v>
      </c>
      <c r="D73" t="s">
        <v>15</v>
      </c>
      <c r="E73" t="s">
        <v>30</v>
      </c>
      <c r="F73" s="2" t="s">
        <v>519</v>
      </c>
      <c r="G73">
        <v>3100</v>
      </c>
      <c r="H73">
        <v>3446</v>
      </c>
      <c r="I73" s="10">
        <v>0.8995937318630296</v>
      </c>
    </row>
    <row r="74" spans="1:9" x14ac:dyDescent="0.25">
      <c r="A74" s="11" t="s">
        <v>305</v>
      </c>
      <c r="B74">
        <v>2024</v>
      </c>
      <c r="C74" t="s">
        <v>628</v>
      </c>
      <c r="D74" t="s">
        <v>15</v>
      </c>
      <c r="E74" t="s">
        <v>30</v>
      </c>
      <c r="F74" s="2" t="s">
        <v>519</v>
      </c>
      <c r="G74">
        <v>2857</v>
      </c>
      <c r="H74">
        <v>2857</v>
      </c>
      <c r="I74" s="10">
        <v>1</v>
      </c>
    </row>
    <row r="75" spans="1:9" ht="30" x14ac:dyDescent="0.25">
      <c r="A75" s="11" t="s">
        <v>250</v>
      </c>
      <c r="B75">
        <v>2024</v>
      </c>
      <c r="C75" t="s">
        <v>139</v>
      </c>
      <c r="D75" t="s">
        <v>11</v>
      </c>
      <c r="E75" t="s">
        <v>22</v>
      </c>
      <c r="F75" s="2" t="s">
        <v>251</v>
      </c>
      <c r="G75">
        <v>180</v>
      </c>
      <c r="H75">
        <v>373</v>
      </c>
      <c r="I75" s="10">
        <v>0.48257372654155495</v>
      </c>
    </row>
    <row r="76" spans="1:9" ht="30" x14ac:dyDescent="0.25">
      <c r="A76" s="11" t="s">
        <v>250</v>
      </c>
      <c r="B76">
        <v>2024</v>
      </c>
      <c r="C76" t="s">
        <v>140</v>
      </c>
      <c r="D76" t="s">
        <v>11</v>
      </c>
      <c r="E76" t="s">
        <v>22</v>
      </c>
      <c r="F76" s="2" t="s">
        <v>251</v>
      </c>
      <c r="G76">
        <v>146</v>
      </c>
      <c r="H76">
        <v>319</v>
      </c>
      <c r="I76" s="10">
        <v>0.45768025078369906</v>
      </c>
    </row>
    <row r="77" spans="1:9" ht="30" x14ac:dyDescent="0.25">
      <c r="A77" s="11" t="s">
        <v>250</v>
      </c>
      <c r="B77">
        <v>2024</v>
      </c>
      <c r="C77" t="s">
        <v>626</v>
      </c>
      <c r="D77" t="s">
        <v>11</v>
      </c>
      <c r="E77" t="s">
        <v>22</v>
      </c>
      <c r="F77" s="2" t="s">
        <v>251</v>
      </c>
      <c r="G77">
        <v>130</v>
      </c>
      <c r="H77">
        <v>292</v>
      </c>
      <c r="I77" s="10">
        <v>0.4452054794520548</v>
      </c>
    </row>
    <row r="78" spans="1:9" ht="30" x14ac:dyDescent="0.25">
      <c r="A78" s="11" t="s">
        <v>250</v>
      </c>
      <c r="B78">
        <v>2024</v>
      </c>
      <c r="C78" t="s">
        <v>630</v>
      </c>
      <c r="D78" t="s">
        <v>11</v>
      </c>
      <c r="E78" t="s">
        <v>22</v>
      </c>
      <c r="F78" s="2" t="s">
        <v>251</v>
      </c>
      <c r="G78">
        <v>128</v>
      </c>
      <c r="H78">
        <v>296</v>
      </c>
      <c r="I78" s="10">
        <v>0.43243243243243246</v>
      </c>
    </row>
    <row r="79" spans="1:9" ht="30" x14ac:dyDescent="0.25">
      <c r="A79" s="11" t="s">
        <v>250</v>
      </c>
      <c r="B79">
        <v>2024</v>
      </c>
      <c r="C79" t="s">
        <v>142</v>
      </c>
      <c r="D79" t="s">
        <v>11</v>
      </c>
      <c r="E79" t="s">
        <v>22</v>
      </c>
      <c r="F79" s="2" t="s">
        <v>251</v>
      </c>
      <c r="G79">
        <v>133</v>
      </c>
      <c r="H79">
        <v>303</v>
      </c>
      <c r="I79" s="10">
        <v>0.43894389438943893</v>
      </c>
    </row>
    <row r="80" spans="1:9" ht="30" x14ac:dyDescent="0.25">
      <c r="A80" s="11" t="s">
        <v>250</v>
      </c>
      <c r="B80">
        <v>2024</v>
      </c>
      <c r="C80" t="s">
        <v>627</v>
      </c>
      <c r="D80" t="s">
        <v>11</v>
      </c>
      <c r="E80" t="s">
        <v>22</v>
      </c>
      <c r="F80" s="2" t="s">
        <v>251</v>
      </c>
      <c r="G80">
        <v>121</v>
      </c>
      <c r="H80">
        <v>370</v>
      </c>
      <c r="I80" s="10">
        <v>0.32702702702702702</v>
      </c>
    </row>
    <row r="81" spans="1:9" ht="30" x14ac:dyDescent="0.25">
      <c r="A81" s="11" t="s">
        <v>250</v>
      </c>
      <c r="B81">
        <v>2024</v>
      </c>
      <c r="C81" t="s">
        <v>631</v>
      </c>
      <c r="D81" t="s">
        <v>11</v>
      </c>
      <c r="E81" t="s">
        <v>22</v>
      </c>
      <c r="F81" s="2" t="s">
        <v>251</v>
      </c>
      <c r="G81">
        <v>137</v>
      </c>
      <c r="H81">
        <v>334</v>
      </c>
      <c r="I81" s="10">
        <v>0.41017964071856289</v>
      </c>
    </row>
    <row r="82" spans="1:9" ht="30" x14ac:dyDescent="0.25">
      <c r="A82" s="11" t="s">
        <v>250</v>
      </c>
      <c r="B82">
        <v>2024</v>
      </c>
      <c r="C82" t="s">
        <v>632</v>
      </c>
      <c r="D82" t="s">
        <v>11</v>
      </c>
      <c r="E82" t="s">
        <v>22</v>
      </c>
      <c r="F82" s="2" t="s">
        <v>251</v>
      </c>
      <c r="G82">
        <v>103</v>
      </c>
      <c r="H82">
        <v>308</v>
      </c>
      <c r="I82" s="10">
        <v>0.33441558441558439</v>
      </c>
    </row>
    <row r="83" spans="1:9" ht="30" x14ac:dyDescent="0.25">
      <c r="A83" s="11" t="s">
        <v>250</v>
      </c>
      <c r="B83">
        <v>2024</v>
      </c>
      <c r="C83" t="s">
        <v>628</v>
      </c>
      <c r="D83" t="s">
        <v>11</v>
      </c>
      <c r="E83" t="s">
        <v>22</v>
      </c>
      <c r="F83" s="2" t="s">
        <v>251</v>
      </c>
      <c r="G83">
        <v>116</v>
      </c>
      <c r="H83">
        <v>234</v>
      </c>
      <c r="I83" s="10">
        <v>0.49572649572649574</v>
      </c>
    </row>
    <row r="84" spans="1:9" ht="30" x14ac:dyDescent="0.25">
      <c r="A84" s="11" t="s">
        <v>250</v>
      </c>
      <c r="B84">
        <v>2024</v>
      </c>
      <c r="C84" t="s">
        <v>633</v>
      </c>
      <c r="D84" t="s">
        <v>11</v>
      </c>
      <c r="E84" t="s">
        <v>22</v>
      </c>
      <c r="F84" s="2" t="s">
        <v>251</v>
      </c>
      <c r="G84">
        <v>136</v>
      </c>
      <c r="H84">
        <v>247</v>
      </c>
      <c r="I84" s="10">
        <v>0.55060728744939269</v>
      </c>
    </row>
    <row r="85" spans="1:9" x14ac:dyDescent="0.25">
      <c r="A85" s="11" t="s">
        <v>462</v>
      </c>
      <c r="B85">
        <v>2024</v>
      </c>
      <c r="C85" t="s">
        <v>626</v>
      </c>
      <c r="D85" t="s">
        <v>15</v>
      </c>
      <c r="E85" t="s">
        <v>461</v>
      </c>
      <c r="F85" s="2" t="s">
        <v>463</v>
      </c>
      <c r="G85">
        <v>66</v>
      </c>
      <c r="H85">
        <v>68</v>
      </c>
      <c r="I85" s="10">
        <v>0.97058823529411764</v>
      </c>
    </row>
    <row r="86" spans="1:9" x14ac:dyDescent="0.25">
      <c r="A86" s="11" t="s">
        <v>462</v>
      </c>
      <c r="B86">
        <v>2024</v>
      </c>
      <c r="C86" t="s">
        <v>627</v>
      </c>
      <c r="D86" t="s">
        <v>15</v>
      </c>
      <c r="E86" t="s">
        <v>461</v>
      </c>
      <c r="F86" s="2" t="s">
        <v>463</v>
      </c>
      <c r="G86">
        <v>77</v>
      </c>
      <c r="H86">
        <v>78</v>
      </c>
      <c r="I86" s="10">
        <v>0.98717948717948723</v>
      </c>
    </row>
    <row r="87" spans="1:9" x14ac:dyDescent="0.25">
      <c r="A87" s="11" t="s">
        <v>462</v>
      </c>
      <c r="B87">
        <v>2024</v>
      </c>
      <c r="C87" t="s">
        <v>628</v>
      </c>
      <c r="D87" t="s">
        <v>15</v>
      </c>
      <c r="E87" t="s">
        <v>461</v>
      </c>
      <c r="F87" s="2" t="s">
        <v>463</v>
      </c>
      <c r="G87">
        <v>73</v>
      </c>
      <c r="H87">
        <v>78</v>
      </c>
      <c r="I87" s="10">
        <v>0.9358974358974359</v>
      </c>
    </row>
    <row r="88" spans="1:9" x14ac:dyDescent="0.25">
      <c r="A88" s="11" t="s">
        <v>462</v>
      </c>
      <c r="B88">
        <v>2024</v>
      </c>
      <c r="C88" t="s">
        <v>626</v>
      </c>
      <c r="D88" t="s">
        <v>15</v>
      </c>
      <c r="E88" t="s">
        <v>461</v>
      </c>
      <c r="F88" s="2" t="s">
        <v>466</v>
      </c>
      <c r="G88">
        <v>66</v>
      </c>
      <c r="H88">
        <v>68</v>
      </c>
      <c r="I88" s="10">
        <v>0.97058823529411764</v>
      </c>
    </row>
    <row r="89" spans="1:9" x14ac:dyDescent="0.25">
      <c r="A89" s="11" t="s">
        <v>462</v>
      </c>
      <c r="B89">
        <v>2024</v>
      </c>
      <c r="C89" t="s">
        <v>627</v>
      </c>
      <c r="D89" t="s">
        <v>15</v>
      </c>
      <c r="E89" t="s">
        <v>461</v>
      </c>
      <c r="F89" s="2" t="s">
        <v>466</v>
      </c>
      <c r="G89">
        <v>99</v>
      </c>
      <c r="H89">
        <v>104</v>
      </c>
      <c r="I89" s="10">
        <v>0.95192307692307687</v>
      </c>
    </row>
    <row r="90" spans="1:9" x14ac:dyDescent="0.25">
      <c r="A90" s="11" t="s">
        <v>462</v>
      </c>
      <c r="B90">
        <v>2024</v>
      </c>
      <c r="C90" t="s">
        <v>628</v>
      </c>
      <c r="D90" t="s">
        <v>15</v>
      </c>
      <c r="E90" t="s">
        <v>461</v>
      </c>
      <c r="F90" s="2" t="s">
        <v>466</v>
      </c>
      <c r="G90">
        <v>101</v>
      </c>
      <c r="H90">
        <v>104</v>
      </c>
      <c r="I90" s="10">
        <v>0.97115384615384615</v>
      </c>
    </row>
    <row r="91" spans="1:9" x14ac:dyDescent="0.25">
      <c r="A91" s="11" t="s">
        <v>462</v>
      </c>
      <c r="B91">
        <v>2024</v>
      </c>
      <c r="C91" t="s">
        <v>626</v>
      </c>
      <c r="D91" t="s">
        <v>15</v>
      </c>
      <c r="E91" t="s">
        <v>467</v>
      </c>
      <c r="F91" s="2" t="s">
        <v>468</v>
      </c>
      <c r="G91">
        <v>2</v>
      </c>
      <c r="H91">
        <v>3</v>
      </c>
      <c r="I91" s="10">
        <v>0.66666666666666663</v>
      </c>
    </row>
    <row r="92" spans="1:9" x14ac:dyDescent="0.25">
      <c r="A92" s="11" t="s">
        <v>462</v>
      </c>
      <c r="B92">
        <v>2024</v>
      </c>
      <c r="C92" t="s">
        <v>627</v>
      </c>
      <c r="D92" t="s">
        <v>15</v>
      </c>
      <c r="E92" t="s">
        <v>467</v>
      </c>
      <c r="F92" s="2" t="s">
        <v>468</v>
      </c>
      <c r="G92">
        <v>3</v>
      </c>
      <c r="H92">
        <v>3</v>
      </c>
      <c r="I92" s="10">
        <v>1</v>
      </c>
    </row>
    <row r="93" spans="1:9" x14ac:dyDescent="0.25">
      <c r="A93" s="11" t="s">
        <v>462</v>
      </c>
      <c r="B93">
        <v>2024</v>
      </c>
      <c r="C93" t="s">
        <v>628</v>
      </c>
      <c r="D93" t="s">
        <v>15</v>
      </c>
      <c r="E93" t="s">
        <v>467</v>
      </c>
      <c r="F93" s="2" t="s">
        <v>468</v>
      </c>
      <c r="G93">
        <v>2</v>
      </c>
      <c r="H93">
        <v>3</v>
      </c>
      <c r="I93" s="10">
        <v>0.66666666666666663</v>
      </c>
    </row>
    <row r="94" spans="1:9" ht="30" x14ac:dyDescent="0.25">
      <c r="A94" s="11" t="s">
        <v>462</v>
      </c>
      <c r="B94">
        <v>2024</v>
      </c>
      <c r="C94" t="s">
        <v>626</v>
      </c>
      <c r="D94" t="s">
        <v>15</v>
      </c>
      <c r="E94" t="s">
        <v>28</v>
      </c>
      <c r="F94" s="2" t="s">
        <v>53</v>
      </c>
      <c r="G94">
        <v>37</v>
      </c>
      <c r="H94">
        <v>39</v>
      </c>
      <c r="I94" s="10">
        <v>0.94871794871794868</v>
      </c>
    </row>
    <row r="95" spans="1:9" ht="30" x14ac:dyDescent="0.25">
      <c r="A95" s="11" t="s">
        <v>462</v>
      </c>
      <c r="B95">
        <v>2024</v>
      </c>
      <c r="C95" t="s">
        <v>627</v>
      </c>
      <c r="D95" t="s">
        <v>15</v>
      </c>
      <c r="E95" t="s">
        <v>28</v>
      </c>
      <c r="F95" s="2" t="s">
        <v>53</v>
      </c>
      <c r="G95">
        <v>37</v>
      </c>
      <c r="H95">
        <v>39</v>
      </c>
      <c r="I95" s="10">
        <v>0.94871794871794868</v>
      </c>
    </row>
    <row r="96" spans="1:9" ht="30" x14ac:dyDescent="0.25">
      <c r="A96" s="11" t="s">
        <v>462</v>
      </c>
      <c r="B96">
        <v>2024</v>
      </c>
      <c r="C96" t="s">
        <v>628</v>
      </c>
      <c r="D96" t="s">
        <v>15</v>
      </c>
      <c r="E96" t="s">
        <v>28</v>
      </c>
      <c r="F96" s="2" t="s">
        <v>53</v>
      </c>
      <c r="G96">
        <v>35</v>
      </c>
      <c r="H96">
        <v>39</v>
      </c>
      <c r="I96" s="10">
        <v>0.89743589743589747</v>
      </c>
    </row>
    <row r="97" spans="1:9" ht="45" x14ac:dyDescent="0.25">
      <c r="A97" s="11" t="s">
        <v>153</v>
      </c>
      <c r="B97">
        <v>2024</v>
      </c>
      <c r="C97" t="s">
        <v>626</v>
      </c>
      <c r="D97" t="s">
        <v>11</v>
      </c>
      <c r="E97" t="s">
        <v>165</v>
      </c>
      <c r="F97" s="2" t="s">
        <v>177</v>
      </c>
      <c r="G97">
        <v>3</v>
      </c>
      <c r="H97">
        <v>4</v>
      </c>
      <c r="I97" s="10">
        <v>0.75</v>
      </c>
    </row>
    <row r="98" spans="1:9" ht="45" x14ac:dyDescent="0.25">
      <c r="A98" s="11" t="s">
        <v>153</v>
      </c>
      <c r="B98">
        <v>2024</v>
      </c>
      <c r="C98" t="s">
        <v>627</v>
      </c>
      <c r="D98" t="s">
        <v>11</v>
      </c>
      <c r="E98" t="s">
        <v>165</v>
      </c>
      <c r="F98" s="2" t="s">
        <v>177</v>
      </c>
      <c r="G98">
        <v>3</v>
      </c>
      <c r="H98">
        <v>3</v>
      </c>
      <c r="I98" s="10">
        <v>1</v>
      </c>
    </row>
    <row r="99" spans="1:9" ht="45" x14ac:dyDescent="0.25">
      <c r="A99" s="11" t="s">
        <v>153</v>
      </c>
      <c r="B99">
        <v>2024</v>
      </c>
      <c r="C99" t="s">
        <v>628</v>
      </c>
      <c r="D99" t="s">
        <v>11</v>
      </c>
      <c r="E99" t="s">
        <v>165</v>
      </c>
      <c r="F99" s="2" t="s">
        <v>177</v>
      </c>
      <c r="G99">
        <v>3</v>
      </c>
      <c r="H99">
        <v>3</v>
      </c>
      <c r="I99" s="10">
        <v>1</v>
      </c>
    </row>
    <row r="100" spans="1:9" ht="45" x14ac:dyDescent="0.25">
      <c r="A100" s="11" t="s">
        <v>153</v>
      </c>
      <c r="B100">
        <v>2024</v>
      </c>
      <c r="C100" t="s">
        <v>629</v>
      </c>
      <c r="D100" t="s">
        <v>11</v>
      </c>
      <c r="E100" t="s">
        <v>165</v>
      </c>
      <c r="F100" s="2" t="s">
        <v>177</v>
      </c>
      <c r="G100">
        <v>4</v>
      </c>
      <c r="H100">
        <v>5</v>
      </c>
      <c r="I100" s="10">
        <v>0.8</v>
      </c>
    </row>
    <row r="101" spans="1:9" ht="30" x14ac:dyDescent="0.25">
      <c r="A101" s="11" t="s">
        <v>153</v>
      </c>
      <c r="B101">
        <v>2024</v>
      </c>
      <c r="C101" t="s">
        <v>626</v>
      </c>
      <c r="D101" t="s">
        <v>11</v>
      </c>
      <c r="E101" t="s">
        <v>184</v>
      </c>
      <c r="F101" s="2" t="s">
        <v>186</v>
      </c>
      <c r="G101">
        <v>19</v>
      </c>
      <c r="H101">
        <v>19</v>
      </c>
      <c r="I101" s="10">
        <v>1</v>
      </c>
    </row>
    <row r="102" spans="1:9" ht="30" x14ac:dyDescent="0.25">
      <c r="A102" s="11" t="s">
        <v>153</v>
      </c>
      <c r="B102">
        <v>2024</v>
      </c>
      <c r="C102" t="s">
        <v>627</v>
      </c>
      <c r="D102" t="s">
        <v>11</v>
      </c>
      <c r="E102" t="s">
        <v>184</v>
      </c>
      <c r="F102" s="2" t="s">
        <v>186</v>
      </c>
      <c r="G102">
        <v>17</v>
      </c>
      <c r="H102">
        <v>17</v>
      </c>
      <c r="I102" s="10">
        <v>1</v>
      </c>
    </row>
    <row r="103" spans="1:9" ht="30" x14ac:dyDescent="0.25">
      <c r="A103" s="11" t="s">
        <v>153</v>
      </c>
      <c r="B103">
        <v>2024</v>
      </c>
      <c r="C103" t="s">
        <v>628</v>
      </c>
      <c r="D103" t="s">
        <v>11</v>
      </c>
      <c r="E103" t="s">
        <v>184</v>
      </c>
      <c r="F103" s="2" t="s">
        <v>186</v>
      </c>
      <c r="G103">
        <v>15</v>
      </c>
      <c r="H103">
        <v>16</v>
      </c>
      <c r="I103" s="10">
        <v>0.9375</v>
      </c>
    </row>
    <row r="104" spans="1:9" ht="30" x14ac:dyDescent="0.25">
      <c r="A104" s="11" t="s">
        <v>153</v>
      </c>
      <c r="B104">
        <v>2024</v>
      </c>
      <c r="C104" t="s">
        <v>629</v>
      </c>
      <c r="D104" t="s">
        <v>11</v>
      </c>
      <c r="E104" t="s">
        <v>184</v>
      </c>
      <c r="F104" s="2" t="s">
        <v>186</v>
      </c>
      <c r="G104">
        <v>17</v>
      </c>
      <c r="H104">
        <v>18</v>
      </c>
      <c r="I104" s="10">
        <v>0.94444444444444442</v>
      </c>
    </row>
    <row r="105" spans="1:9" ht="30" x14ac:dyDescent="0.25">
      <c r="A105" s="11" t="s">
        <v>153</v>
      </c>
      <c r="B105">
        <v>2024</v>
      </c>
      <c r="C105" t="s">
        <v>626</v>
      </c>
      <c r="D105" t="s">
        <v>11</v>
      </c>
      <c r="E105" t="s">
        <v>209</v>
      </c>
      <c r="F105" s="2" t="s">
        <v>214</v>
      </c>
      <c r="G105">
        <v>19</v>
      </c>
      <c r="H105">
        <v>19</v>
      </c>
      <c r="I105" s="10">
        <v>1</v>
      </c>
    </row>
    <row r="106" spans="1:9" ht="30" x14ac:dyDescent="0.25">
      <c r="A106" s="11" t="s">
        <v>153</v>
      </c>
      <c r="B106">
        <v>2024</v>
      </c>
      <c r="C106" t="s">
        <v>627</v>
      </c>
      <c r="D106" t="s">
        <v>11</v>
      </c>
      <c r="E106" t="s">
        <v>209</v>
      </c>
      <c r="F106" s="2" t="s">
        <v>214</v>
      </c>
      <c r="G106">
        <v>19</v>
      </c>
      <c r="H106">
        <v>19</v>
      </c>
      <c r="I106" s="10">
        <v>1</v>
      </c>
    </row>
    <row r="107" spans="1:9" ht="30" x14ac:dyDescent="0.25">
      <c r="A107" s="11" t="s">
        <v>153</v>
      </c>
      <c r="B107">
        <v>2024</v>
      </c>
      <c r="C107" t="s">
        <v>628</v>
      </c>
      <c r="D107" t="s">
        <v>11</v>
      </c>
      <c r="E107" t="s">
        <v>209</v>
      </c>
      <c r="F107" s="2" t="s">
        <v>214</v>
      </c>
      <c r="G107">
        <v>16</v>
      </c>
      <c r="H107">
        <v>16</v>
      </c>
      <c r="I107" s="10">
        <v>1</v>
      </c>
    </row>
    <row r="108" spans="1:9" ht="30" x14ac:dyDescent="0.25">
      <c r="A108" s="11" t="s">
        <v>153</v>
      </c>
      <c r="B108">
        <v>2024</v>
      </c>
      <c r="C108" t="s">
        <v>629</v>
      </c>
      <c r="D108" t="s">
        <v>11</v>
      </c>
      <c r="E108" t="s">
        <v>209</v>
      </c>
      <c r="F108" s="2" t="s">
        <v>214</v>
      </c>
      <c r="G108">
        <v>18</v>
      </c>
      <c r="H108">
        <v>18</v>
      </c>
      <c r="I108" s="10">
        <v>1</v>
      </c>
    </row>
    <row r="109" spans="1:9" ht="30" x14ac:dyDescent="0.25">
      <c r="A109" s="11" t="s">
        <v>153</v>
      </c>
      <c r="B109">
        <v>2024</v>
      </c>
      <c r="C109" t="s">
        <v>139</v>
      </c>
      <c r="D109" t="s">
        <v>11</v>
      </c>
      <c r="E109" t="s">
        <v>21</v>
      </c>
      <c r="F109" s="2" t="s">
        <v>240</v>
      </c>
      <c r="G109">
        <v>3</v>
      </c>
      <c r="H109">
        <v>3</v>
      </c>
      <c r="I109" s="10">
        <v>1</v>
      </c>
    </row>
    <row r="110" spans="1:9" ht="30" x14ac:dyDescent="0.25">
      <c r="A110" s="11" t="s">
        <v>153</v>
      </c>
      <c r="B110">
        <v>2024</v>
      </c>
      <c r="C110" t="s">
        <v>140</v>
      </c>
      <c r="D110" t="s">
        <v>11</v>
      </c>
      <c r="E110" t="s">
        <v>21</v>
      </c>
      <c r="F110" s="2" t="s">
        <v>240</v>
      </c>
      <c r="G110">
        <v>2</v>
      </c>
      <c r="H110">
        <v>2</v>
      </c>
      <c r="I110" s="10">
        <v>1</v>
      </c>
    </row>
    <row r="111" spans="1:9" ht="30" x14ac:dyDescent="0.25">
      <c r="A111" s="11" t="s">
        <v>153</v>
      </c>
      <c r="B111">
        <v>2024</v>
      </c>
      <c r="C111" t="s">
        <v>626</v>
      </c>
      <c r="D111" t="s">
        <v>11</v>
      </c>
      <c r="E111" t="s">
        <v>21</v>
      </c>
      <c r="F111" s="2" t="s">
        <v>240</v>
      </c>
      <c r="G111">
        <v>6</v>
      </c>
      <c r="H111">
        <v>6</v>
      </c>
      <c r="I111" s="10">
        <v>1</v>
      </c>
    </row>
    <row r="112" spans="1:9" ht="30" x14ac:dyDescent="0.25">
      <c r="A112" s="11" t="s">
        <v>153</v>
      </c>
      <c r="B112">
        <v>2024</v>
      </c>
      <c r="C112" t="s">
        <v>630</v>
      </c>
      <c r="D112" t="s">
        <v>11</v>
      </c>
      <c r="E112" t="s">
        <v>21</v>
      </c>
      <c r="F112" s="2" t="s">
        <v>240</v>
      </c>
      <c r="G112">
        <v>6</v>
      </c>
      <c r="H112">
        <v>6</v>
      </c>
      <c r="I112" s="10">
        <v>1</v>
      </c>
    </row>
    <row r="113" spans="1:9" ht="30" x14ac:dyDescent="0.25">
      <c r="A113" s="11" t="s">
        <v>153</v>
      </c>
      <c r="B113">
        <v>2024</v>
      </c>
      <c r="C113" t="s">
        <v>142</v>
      </c>
      <c r="D113" t="s">
        <v>11</v>
      </c>
      <c r="E113" t="s">
        <v>21</v>
      </c>
      <c r="F113" s="2" t="s">
        <v>240</v>
      </c>
      <c r="G113">
        <v>6</v>
      </c>
      <c r="H113">
        <v>6</v>
      </c>
      <c r="I113" s="10">
        <v>1</v>
      </c>
    </row>
    <row r="114" spans="1:9" ht="30" x14ac:dyDescent="0.25">
      <c r="A114" s="11" t="s">
        <v>153</v>
      </c>
      <c r="B114">
        <v>2024</v>
      </c>
      <c r="C114" t="s">
        <v>627</v>
      </c>
      <c r="D114" t="s">
        <v>11</v>
      </c>
      <c r="E114" t="s">
        <v>21</v>
      </c>
      <c r="F114" s="2" t="s">
        <v>240</v>
      </c>
      <c r="G114">
        <v>6</v>
      </c>
      <c r="H114">
        <v>6</v>
      </c>
      <c r="I114" s="10">
        <v>1</v>
      </c>
    </row>
    <row r="115" spans="1:9" ht="30" x14ac:dyDescent="0.25">
      <c r="A115" s="11" t="s">
        <v>153</v>
      </c>
      <c r="B115">
        <v>2024</v>
      </c>
      <c r="C115" t="s">
        <v>631</v>
      </c>
      <c r="D115" t="s">
        <v>11</v>
      </c>
      <c r="E115" t="s">
        <v>21</v>
      </c>
      <c r="F115" s="2" t="s">
        <v>240</v>
      </c>
      <c r="G115">
        <v>6</v>
      </c>
      <c r="H115">
        <v>6</v>
      </c>
      <c r="I115" s="10">
        <v>1</v>
      </c>
    </row>
    <row r="116" spans="1:9" ht="30" x14ac:dyDescent="0.25">
      <c r="A116" s="11" t="s">
        <v>153</v>
      </c>
      <c r="B116">
        <v>2024</v>
      </c>
      <c r="C116" t="s">
        <v>632</v>
      </c>
      <c r="D116" t="s">
        <v>11</v>
      </c>
      <c r="E116" t="s">
        <v>21</v>
      </c>
      <c r="F116" s="2" t="s">
        <v>240</v>
      </c>
      <c r="G116">
        <v>6</v>
      </c>
      <c r="H116">
        <v>6</v>
      </c>
      <c r="I116" s="10">
        <v>1</v>
      </c>
    </row>
    <row r="117" spans="1:9" ht="30" x14ac:dyDescent="0.25">
      <c r="A117" s="11" t="s">
        <v>153</v>
      </c>
      <c r="B117">
        <v>2024</v>
      </c>
      <c r="C117" t="s">
        <v>628</v>
      </c>
      <c r="D117" t="s">
        <v>11</v>
      </c>
      <c r="E117" t="s">
        <v>21</v>
      </c>
      <c r="F117" s="2" t="s">
        <v>240</v>
      </c>
      <c r="G117">
        <v>5</v>
      </c>
      <c r="H117">
        <v>5</v>
      </c>
      <c r="I117" s="10">
        <v>1</v>
      </c>
    </row>
    <row r="118" spans="1:9" ht="30" x14ac:dyDescent="0.25">
      <c r="A118" s="11" t="s">
        <v>153</v>
      </c>
      <c r="B118">
        <v>2024</v>
      </c>
      <c r="C118" t="s">
        <v>633</v>
      </c>
      <c r="D118" t="s">
        <v>11</v>
      </c>
      <c r="E118" t="s">
        <v>21</v>
      </c>
      <c r="F118" s="2" t="s">
        <v>240</v>
      </c>
      <c r="G118">
        <v>6</v>
      </c>
      <c r="H118">
        <v>6</v>
      </c>
      <c r="I118" s="10">
        <v>1</v>
      </c>
    </row>
    <row r="119" spans="1:9" ht="30" x14ac:dyDescent="0.25">
      <c r="A119" s="11" t="s">
        <v>153</v>
      </c>
      <c r="B119">
        <v>2024</v>
      </c>
      <c r="C119" t="s">
        <v>634</v>
      </c>
      <c r="D119" t="s">
        <v>11</v>
      </c>
      <c r="E119" t="s">
        <v>21</v>
      </c>
      <c r="F119" s="2" t="s">
        <v>240</v>
      </c>
      <c r="G119">
        <v>6</v>
      </c>
      <c r="H119">
        <v>6</v>
      </c>
      <c r="I119" s="10">
        <v>1</v>
      </c>
    </row>
    <row r="120" spans="1:9" ht="30" x14ac:dyDescent="0.25">
      <c r="A120" s="11" t="s">
        <v>153</v>
      </c>
      <c r="B120">
        <v>2024</v>
      </c>
      <c r="C120" t="s">
        <v>629</v>
      </c>
      <c r="D120" t="s">
        <v>11</v>
      </c>
      <c r="E120" t="s">
        <v>21</v>
      </c>
      <c r="F120" s="2" t="s">
        <v>240</v>
      </c>
      <c r="G120">
        <v>4</v>
      </c>
      <c r="H120">
        <v>4</v>
      </c>
      <c r="I120" s="10">
        <v>1</v>
      </c>
    </row>
    <row r="121" spans="1:9" ht="30" x14ac:dyDescent="0.25">
      <c r="A121" s="11" t="s">
        <v>153</v>
      </c>
      <c r="B121">
        <v>2024</v>
      </c>
      <c r="C121" t="s">
        <v>626</v>
      </c>
      <c r="D121" t="s">
        <v>11</v>
      </c>
      <c r="E121" t="s">
        <v>24</v>
      </c>
      <c r="F121" s="2" t="s">
        <v>289</v>
      </c>
      <c r="G121">
        <v>36</v>
      </c>
      <c r="H121">
        <v>39</v>
      </c>
      <c r="I121" s="10">
        <v>0.92307692307692313</v>
      </c>
    </row>
    <row r="122" spans="1:9" ht="30" x14ac:dyDescent="0.25">
      <c r="A122" s="11" t="s">
        <v>153</v>
      </c>
      <c r="B122">
        <v>2024</v>
      </c>
      <c r="C122" t="s">
        <v>627</v>
      </c>
      <c r="D122" t="s">
        <v>11</v>
      </c>
      <c r="E122" t="s">
        <v>24</v>
      </c>
      <c r="F122" s="2" t="s">
        <v>289</v>
      </c>
      <c r="G122">
        <v>36</v>
      </c>
      <c r="H122">
        <v>39</v>
      </c>
      <c r="I122" s="10">
        <v>0.92307692307692313</v>
      </c>
    </row>
    <row r="123" spans="1:9" ht="30" x14ac:dyDescent="0.25">
      <c r="A123" s="11" t="s">
        <v>153</v>
      </c>
      <c r="B123">
        <v>2024</v>
      </c>
      <c r="C123" t="s">
        <v>628</v>
      </c>
      <c r="D123" t="s">
        <v>11</v>
      </c>
      <c r="E123" t="s">
        <v>24</v>
      </c>
      <c r="F123" s="2" t="s">
        <v>289</v>
      </c>
      <c r="G123">
        <v>38</v>
      </c>
      <c r="H123">
        <v>39</v>
      </c>
      <c r="I123" s="10">
        <v>0.97435897435897434</v>
      </c>
    </row>
    <row r="124" spans="1:9" ht="30" x14ac:dyDescent="0.25">
      <c r="A124" s="11" t="s">
        <v>153</v>
      </c>
      <c r="B124">
        <v>2024</v>
      </c>
      <c r="C124" t="s">
        <v>629</v>
      </c>
      <c r="D124" t="s">
        <v>11</v>
      </c>
      <c r="E124" t="s">
        <v>24</v>
      </c>
      <c r="F124" s="2" t="s">
        <v>289</v>
      </c>
      <c r="G124">
        <v>38</v>
      </c>
      <c r="H124">
        <v>39</v>
      </c>
      <c r="I124" s="10">
        <v>0.97435897435897434</v>
      </c>
    </row>
    <row r="125" spans="1:9" ht="30" x14ac:dyDescent="0.25">
      <c r="A125" s="11" t="s">
        <v>153</v>
      </c>
      <c r="B125">
        <v>2024</v>
      </c>
      <c r="C125" t="s">
        <v>626</v>
      </c>
      <c r="D125" t="s">
        <v>14</v>
      </c>
      <c r="E125" t="s">
        <v>315</v>
      </c>
      <c r="F125" s="2" t="s">
        <v>46</v>
      </c>
      <c r="G125">
        <v>31</v>
      </c>
      <c r="H125">
        <v>31</v>
      </c>
      <c r="I125" s="10">
        <v>1</v>
      </c>
    </row>
    <row r="126" spans="1:9" ht="30" x14ac:dyDescent="0.25">
      <c r="A126" s="11" t="s">
        <v>153</v>
      </c>
      <c r="B126">
        <v>2024</v>
      </c>
      <c r="C126" t="s">
        <v>627</v>
      </c>
      <c r="D126" t="s">
        <v>14</v>
      </c>
      <c r="E126" t="s">
        <v>315</v>
      </c>
      <c r="F126" s="2" t="s">
        <v>46</v>
      </c>
      <c r="G126">
        <v>30</v>
      </c>
      <c r="H126">
        <v>33</v>
      </c>
      <c r="I126" s="10">
        <v>0.90909090909090906</v>
      </c>
    </row>
    <row r="127" spans="1:9" ht="30" x14ac:dyDescent="0.25">
      <c r="A127" s="11" t="s">
        <v>153</v>
      </c>
      <c r="B127">
        <v>2024</v>
      </c>
      <c r="C127" t="s">
        <v>628</v>
      </c>
      <c r="D127" t="s">
        <v>14</v>
      </c>
      <c r="E127" t="s">
        <v>315</v>
      </c>
      <c r="F127" s="2" t="s">
        <v>46</v>
      </c>
      <c r="G127">
        <v>32</v>
      </c>
      <c r="H127">
        <v>32</v>
      </c>
      <c r="I127" s="10">
        <v>1</v>
      </c>
    </row>
    <row r="128" spans="1:9" ht="30" x14ac:dyDescent="0.25">
      <c r="A128" s="11" t="s">
        <v>153</v>
      </c>
      <c r="B128">
        <v>2024</v>
      </c>
      <c r="C128" t="s">
        <v>629</v>
      </c>
      <c r="D128" t="s">
        <v>14</v>
      </c>
      <c r="E128" t="s">
        <v>315</v>
      </c>
      <c r="F128" s="2" t="s">
        <v>46</v>
      </c>
      <c r="G128">
        <v>32</v>
      </c>
      <c r="H128">
        <v>32</v>
      </c>
      <c r="I128" s="10">
        <v>1</v>
      </c>
    </row>
    <row r="129" spans="1:9" x14ac:dyDescent="0.25">
      <c r="A129" s="11" t="s">
        <v>611</v>
      </c>
      <c r="B129">
        <v>2024</v>
      </c>
      <c r="C129" t="s">
        <v>626</v>
      </c>
      <c r="D129" t="s">
        <v>15</v>
      </c>
      <c r="E129" t="s">
        <v>35</v>
      </c>
      <c r="F129" s="2" t="s">
        <v>56</v>
      </c>
      <c r="G129">
        <v>100</v>
      </c>
      <c r="H129">
        <v>100</v>
      </c>
      <c r="I129" s="10">
        <v>1</v>
      </c>
    </row>
    <row r="130" spans="1:9" x14ac:dyDescent="0.25">
      <c r="A130" s="11" t="s">
        <v>611</v>
      </c>
      <c r="B130">
        <v>2024</v>
      </c>
      <c r="C130" t="s">
        <v>627</v>
      </c>
      <c r="D130" t="s">
        <v>15</v>
      </c>
      <c r="E130" t="s">
        <v>35</v>
      </c>
      <c r="F130" s="2" t="s">
        <v>56</v>
      </c>
      <c r="G130">
        <v>104</v>
      </c>
      <c r="H130">
        <v>104</v>
      </c>
      <c r="I130" s="10">
        <v>1</v>
      </c>
    </row>
    <row r="131" spans="1:9" x14ac:dyDescent="0.25">
      <c r="A131" s="11" t="s">
        <v>611</v>
      </c>
      <c r="B131">
        <v>2024</v>
      </c>
      <c r="C131" t="s">
        <v>628</v>
      </c>
      <c r="D131" t="s">
        <v>15</v>
      </c>
      <c r="E131" t="s">
        <v>35</v>
      </c>
      <c r="F131" s="2" t="s">
        <v>56</v>
      </c>
      <c r="G131">
        <v>90</v>
      </c>
      <c r="H131">
        <v>90</v>
      </c>
      <c r="I131" s="10">
        <v>1</v>
      </c>
    </row>
    <row r="132" spans="1:9" x14ac:dyDescent="0.25">
      <c r="A132" s="11" t="s">
        <v>611</v>
      </c>
      <c r="B132">
        <v>2024</v>
      </c>
      <c r="C132" t="s">
        <v>629</v>
      </c>
      <c r="D132" t="s">
        <v>15</v>
      </c>
      <c r="E132" t="s">
        <v>35</v>
      </c>
      <c r="F132" s="2" t="s">
        <v>56</v>
      </c>
      <c r="G132">
        <v>64</v>
      </c>
      <c r="H132">
        <v>64</v>
      </c>
      <c r="I132" s="10">
        <v>1</v>
      </c>
    </row>
    <row r="133" spans="1:9" ht="30" x14ac:dyDescent="0.25">
      <c r="A133" s="11" t="s">
        <v>143</v>
      </c>
      <c r="B133">
        <v>2024</v>
      </c>
      <c r="C133" t="s">
        <v>626</v>
      </c>
      <c r="D133" t="s">
        <v>11</v>
      </c>
      <c r="E133" t="s">
        <v>184</v>
      </c>
      <c r="F133" s="2" t="s">
        <v>193</v>
      </c>
      <c r="G133">
        <v>264</v>
      </c>
      <c r="H133">
        <v>296</v>
      </c>
      <c r="I133" s="10">
        <v>0.89189189189189189</v>
      </c>
    </row>
    <row r="134" spans="1:9" ht="30" x14ac:dyDescent="0.25">
      <c r="A134" s="11" t="s">
        <v>143</v>
      </c>
      <c r="B134">
        <v>2024</v>
      </c>
      <c r="C134" t="s">
        <v>627</v>
      </c>
      <c r="D134" t="s">
        <v>11</v>
      </c>
      <c r="E134" t="s">
        <v>184</v>
      </c>
      <c r="F134" s="2" t="s">
        <v>193</v>
      </c>
      <c r="G134">
        <v>342</v>
      </c>
      <c r="H134">
        <v>388</v>
      </c>
      <c r="I134" s="10">
        <v>0.88144329896907214</v>
      </c>
    </row>
    <row r="135" spans="1:9" ht="30" x14ac:dyDescent="0.25">
      <c r="A135" s="11" t="s">
        <v>143</v>
      </c>
      <c r="B135">
        <v>2024</v>
      </c>
      <c r="C135" t="s">
        <v>628</v>
      </c>
      <c r="D135" t="s">
        <v>11</v>
      </c>
      <c r="E135" t="s">
        <v>184</v>
      </c>
      <c r="F135" s="2" t="s">
        <v>193</v>
      </c>
      <c r="G135">
        <v>373</v>
      </c>
      <c r="H135">
        <v>441</v>
      </c>
      <c r="I135" s="10">
        <v>0.8458049886621315</v>
      </c>
    </row>
    <row r="136" spans="1:9" ht="30" x14ac:dyDescent="0.25">
      <c r="A136" s="11" t="s">
        <v>143</v>
      </c>
      <c r="B136">
        <v>2024</v>
      </c>
      <c r="C136" t="s">
        <v>629</v>
      </c>
      <c r="D136" t="s">
        <v>11</v>
      </c>
      <c r="E136" t="s">
        <v>184</v>
      </c>
      <c r="F136" s="2" t="s">
        <v>193</v>
      </c>
      <c r="G136">
        <v>384</v>
      </c>
      <c r="H136">
        <v>424</v>
      </c>
      <c r="I136" s="10">
        <v>0.90566037735849059</v>
      </c>
    </row>
    <row r="137" spans="1:9" ht="30" x14ac:dyDescent="0.25">
      <c r="A137" s="11" t="s">
        <v>143</v>
      </c>
      <c r="B137">
        <v>2024</v>
      </c>
      <c r="C137" t="s">
        <v>626</v>
      </c>
      <c r="D137" t="s">
        <v>11</v>
      </c>
      <c r="E137" t="s">
        <v>20</v>
      </c>
      <c r="F137" s="2" t="s">
        <v>236</v>
      </c>
      <c r="G137">
        <v>218</v>
      </c>
      <c r="H137">
        <v>270</v>
      </c>
      <c r="I137" s="10">
        <v>0.80740740740740746</v>
      </c>
    </row>
    <row r="138" spans="1:9" ht="30" x14ac:dyDescent="0.25">
      <c r="A138" s="11" t="s">
        <v>143</v>
      </c>
      <c r="B138">
        <v>2024</v>
      </c>
      <c r="C138" t="s">
        <v>627</v>
      </c>
      <c r="D138" t="s">
        <v>11</v>
      </c>
      <c r="E138" t="s">
        <v>20</v>
      </c>
      <c r="F138" s="2" t="s">
        <v>236</v>
      </c>
      <c r="G138">
        <v>130</v>
      </c>
      <c r="H138">
        <v>192</v>
      </c>
      <c r="I138" s="10">
        <v>0.67708333333333337</v>
      </c>
    </row>
    <row r="139" spans="1:9" ht="30" x14ac:dyDescent="0.25">
      <c r="A139" s="11" t="s">
        <v>143</v>
      </c>
      <c r="B139">
        <v>2024</v>
      </c>
      <c r="C139" t="s">
        <v>628</v>
      </c>
      <c r="D139" t="s">
        <v>11</v>
      </c>
      <c r="E139" t="s">
        <v>20</v>
      </c>
      <c r="F139" s="2" t="s">
        <v>236</v>
      </c>
      <c r="G139">
        <v>112</v>
      </c>
      <c r="H139">
        <v>205</v>
      </c>
      <c r="I139" s="10">
        <v>0.54634146341463419</v>
      </c>
    </row>
    <row r="140" spans="1:9" ht="30" x14ac:dyDescent="0.25">
      <c r="A140" s="11" t="s">
        <v>143</v>
      </c>
      <c r="B140">
        <v>2024</v>
      </c>
      <c r="C140" t="s">
        <v>629</v>
      </c>
      <c r="D140" t="s">
        <v>11</v>
      </c>
      <c r="E140" t="s">
        <v>20</v>
      </c>
      <c r="F140" s="2" t="s">
        <v>236</v>
      </c>
      <c r="G140">
        <v>89</v>
      </c>
      <c r="H140">
        <v>182</v>
      </c>
      <c r="I140" s="10">
        <v>0.48901098901098899</v>
      </c>
    </row>
    <row r="141" spans="1:9" ht="30" x14ac:dyDescent="0.25">
      <c r="A141" s="11" t="s">
        <v>143</v>
      </c>
      <c r="B141">
        <v>2024</v>
      </c>
      <c r="C141" t="s">
        <v>626</v>
      </c>
      <c r="D141" t="s">
        <v>11</v>
      </c>
      <c r="E141" t="s">
        <v>21</v>
      </c>
      <c r="F141" s="2" t="s">
        <v>245</v>
      </c>
      <c r="G141">
        <v>83</v>
      </c>
      <c r="H141">
        <v>87</v>
      </c>
      <c r="I141" s="10">
        <v>0.95402298850574707</v>
      </c>
    </row>
    <row r="142" spans="1:9" ht="30" x14ac:dyDescent="0.25">
      <c r="A142" s="11" t="s">
        <v>143</v>
      </c>
      <c r="B142">
        <v>2024</v>
      </c>
      <c r="C142" t="s">
        <v>627</v>
      </c>
      <c r="D142" t="s">
        <v>11</v>
      </c>
      <c r="E142" t="s">
        <v>21</v>
      </c>
      <c r="F142" s="2" t="s">
        <v>245</v>
      </c>
      <c r="G142">
        <v>131</v>
      </c>
      <c r="H142">
        <v>140</v>
      </c>
      <c r="I142" s="10">
        <v>0.93571428571428572</v>
      </c>
    </row>
    <row r="143" spans="1:9" ht="30" x14ac:dyDescent="0.25">
      <c r="A143" s="11" t="s">
        <v>143</v>
      </c>
      <c r="B143">
        <v>2024</v>
      </c>
      <c r="C143" t="s">
        <v>628</v>
      </c>
      <c r="D143" t="s">
        <v>11</v>
      </c>
      <c r="E143" t="s">
        <v>21</v>
      </c>
      <c r="F143" s="2" t="s">
        <v>245</v>
      </c>
      <c r="G143">
        <v>157</v>
      </c>
      <c r="H143">
        <v>164</v>
      </c>
      <c r="I143" s="10">
        <v>0.95731707317073167</v>
      </c>
    </row>
    <row r="144" spans="1:9" ht="30" x14ac:dyDescent="0.25">
      <c r="A144" s="11" t="s">
        <v>143</v>
      </c>
      <c r="B144">
        <v>2024</v>
      </c>
      <c r="C144" t="s">
        <v>629</v>
      </c>
      <c r="D144" t="s">
        <v>11</v>
      </c>
      <c r="E144" t="s">
        <v>21</v>
      </c>
      <c r="F144" s="2" t="s">
        <v>245</v>
      </c>
      <c r="G144">
        <v>151</v>
      </c>
      <c r="H144">
        <v>157</v>
      </c>
      <c r="I144" s="10">
        <v>0.96178343949044587</v>
      </c>
    </row>
    <row r="145" spans="1:9" ht="30" x14ac:dyDescent="0.25">
      <c r="A145" s="11" t="s">
        <v>143</v>
      </c>
      <c r="B145">
        <v>2024</v>
      </c>
      <c r="C145" t="s">
        <v>626</v>
      </c>
      <c r="D145" t="s">
        <v>11</v>
      </c>
      <c r="E145" t="s">
        <v>261</v>
      </c>
      <c r="F145" s="2" t="s">
        <v>262</v>
      </c>
      <c r="G145">
        <v>81</v>
      </c>
      <c r="H145">
        <v>81</v>
      </c>
      <c r="I145" s="10">
        <v>1</v>
      </c>
    </row>
    <row r="146" spans="1:9" ht="30" x14ac:dyDescent="0.25">
      <c r="A146" s="11" t="s">
        <v>143</v>
      </c>
      <c r="B146">
        <v>2024</v>
      </c>
      <c r="C146" t="s">
        <v>627</v>
      </c>
      <c r="D146" t="s">
        <v>11</v>
      </c>
      <c r="E146" t="s">
        <v>261</v>
      </c>
      <c r="F146" s="2" t="s">
        <v>262</v>
      </c>
      <c r="G146">
        <v>100</v>
      </c>
      <c r="H146">
        <v>100</v>
      </c>
      <c r="I146" s="10">
        <v>1</v>
      </c>
    </row>
    <row r="147" spans="1:9" ht="30" x14ac:dyDescent="0.25">
      <c r="A147" s="11" t="s">
        <v>143</v>
      </c>
      <c r="B147">
        <v>2024</v>
      </c>
      <c r="C147" t="s">
        <v>628</v>
      </c>
      <c r="D147" t="s">
        <v>11</v>
      </c>
      <c r="E147" t="s">
        <v>261</v>
      </c>
      <c r="F147" s="2" t="s">
        <v>262</v>
      </c>
      <c r="G147">
        <v>106</v>
      </c>
      <c r="H147">
        <v>106</v>
      </c>
      <c r="I147" s="10">
        <v>1</v>
      </c>
    </row>
    <row r="148" spans="1:9" ht="30" x14ac:dyDescent="0.25">
      <c r="A148" s="11" t="s">
        <v>143</v>
      </c>
      <c r="B148">
        <v>2024</v>
      </c>
      <c r="C148" t="s">
        <v>629</v>
      </c>
      <c r="D148" t="s">
        <v>11</v>
      </c>
      <c r="E148" t="s">
        <v>261</v>
      </c>
      <c r="F148" s="2" t="s">
        <v>262</v>
      </c>
      <c r="G148">
        <v>104</v>
      </c>
      <c r="H148">
        <v>104</v>
      </c>
      <c r="I148" s="10">
        <v>1</v>
      </c>
    </row>
    <row r="149" spans="1:9" ht="30" x14ac:dyDescent="0.25">
      <c r="A149" s="11" t="s">
        <v>143</v>
      </c>
      <c r="B149">
        <v>2024</v>
      </c>
      <c r="C149" t="s">
        <v>626</v>
      </c>
      <c r="D149" t="s">
        <v>11</v>
      </c>
      <c r="E149" t="s">
        <v>273</v>
      </c>
      <c r="F149" s="2" t="s">
        <v>274</v>
      </c>
      <c r="G149">
        <v>101</v>
      </c>
      <c r="H149">
        <v>138</v>
      </c>
      <c r="I149" s="10">
        <v>0.73188405797101452</v>
      </c>
    </row>
    <row r="150" spans="1:9" ht="30" x14ac:dyDescent="0.25">
      <c r="A150" s="11" t="s">
        <v>143</v>
      </c>
      <c r="B150">
        <v>2024</v>
      </c>
      <c r="C150" t="s">
        <v>627</v>
      </c>
      <c r="D150" t="s">
        <v>11</v>
      </c>
      <c r="E150" t="s">
        <v>273</v>
      </c>
      <c r="F150" s="2" t="s">
        <v>274</v>
      </c>
      <c r="G150">
        <v>81</v>
      </c>
      <c r="H150">
        <v>108</v>
      </c>
      <c r="I150" s="10">
        <v>0.75</v>
      </c>
    </row>
    <row r="151" spans="1:9" ht="30" x14ac:dyDescent="0.25">
      <c r="A151" s="11" t="s">
        <v>143</v>
      </c>
      <c r="B151">
        <v>2024</v>
      </c>
      <c r="C151" t="s">
        <v>628</v>
      </c>
      <c r="D151" t="s">
        <v>11</v>
      </c>
      <c r="E151" t="s">
        <v>273</v>
      </c>
      <c r="F151" s="2" t="s">
        <v>274</v>
      </c>
      <c r="G151">
        <v>82</v>
      </c>
      <c r="H151">
        <v>123</v>
      </c>
      <c r="I151" s="10">
        <v>0.66666666666666663</v>
      </c>
    </row>
    <row r="152" spans="1:9" ht="30" x14ac:dyDescent="0.25">
      <c r="A152" s="11" t="s">
        <v>143</v>
      </c>
      <c r="B152">
        <v>2024</v>
      </c>
      <c r="C152" t="s">
        <v>629</v>
      </c>
      <c r="D152" t="s">
        <v>11</v>
      </c>
      <c r="E152" t="s">
        <v>273</v>
      </c>
      <c r="F152" s="2" t="s">
        <v>274</v>
      </c>
      <c r="G152">
        <v>79</v>
      </c>
      <c r="H152">
        <v>117</v>
      </c>
      <c r="I152" s="10">
        <v>0.67521367521367526</v>
      </c>
    </row>
    <row r="153" spans="1:9" ht="30" x14ac:dyDescent="0.25">
      <c r="A153" s="11" t="s">
        <v>143</v>
      </c>
      <c r="B153">
        <v>2024</v>
      </c>
      <c r="C153" t="s">
        <v>626</v>
      </c>
      <c r="D153" t="s">
        <v>14</v>
      </c>
      <c r="E153" t="s">
        <v>315</v>
      </c>
      <c r="F153" s="2" t="s">
        <v>323</v>
      </c>
      <c r="G153">
        <v>29</v>
      </c>
      <c r="H153">
        <v>32</v>
      </c>
      <c r="I153" s="10">
        <v>0.90625</v>
      </c>
    </row>
    <row r="154" spans="1:9" ht="30" x14ac:dyDescent="0.25">
      <c r="A154" s="11" t="s">
        <v>143</v>
      </c>
      <c r="B154">
        <v>2024</v>
      </c>
      <c r="C154" t="s">
        <v>627</v>
      </c>
      <c r="D154" t="s">
        <v>14</v>
      </c>
      <c r="E154" t="s">
        <v>315</v>
      </c>
      <c r="F154" s="2" t="s">
        <v>323</v>
      </c>
      <c r="G154">
        <v>29</v>
      </c>
      <c r="H154">
        <v>33</v>
      </c>
      <c r="I154" s="10">
        <v>0.87878787878787878</v>
      </c>
    </row>
    <row r="155" spans="1:9" ht="30" x14ac:dyDescent="0.25">
      <c r="A155" s="11" t="s">
        <v>143</v>
      </c>
      <c r="B155">
        <v>2024</v>
      </c>
      <c r="C155" t="s">
        <v>628</v>
      </c>
      <c r="D155" t="s">
        <v>14</v>
      </c>
      <c r="E155" t="s">
        <v>315</v>
      </c>
      <c r="F155" s="2" t="s">
        <v>323</v>
      </c>
      <c r="G155">
        <v>27</v>
      </c>
      <c r="H155">
        <v>33</v>
      </c>
      <c r="I155" s="10">
        <v>0.81818181818181823</v>
      </c>
    </row>
    <row r="156" spans="1:9" ht="30" x14ac:dyDescent="0.25">
      <c r="A156" s="11" t="s">
        <v>143</v>
      </c>
      <c r="B156">
        <v>2024</v>
      </c>
      <c r="C156" t="s">
        <v>629</v>
      </c>
      <c r="D156" t="s">
        <v>14</v>
      </c>
      <c r="E156" t="s">
        <v>315</v>
      </c>
      <c r="F156" s="2" t="s">
        <v>323</v>
      </c>
      <c r="G156">
        <v>23</v>
      </c>
      <c r="H156">
        <v>33</v>
      </c>
      <c r="I156" s="10">
        <v>0.69696969696969702</v>
      </c>
    </row>
    <row r="157" spans="1:9" ht="30" x14ac:dyDescent="0.25">
      <c r="A157" s="11" t="s">
        <v>143</v>
      </c>
      <c r="B157">
        <v>2024</v>
      </c>
      <c r="C157" t="s">
        <v>626</v>
      </c>
      <c r="D157" t="s">
        <v>14</v>
      </c>
      <c r="E157" t="s">
        <v>353</v>
      </c>
      <c r="F157" s="2" t="s">
        <v>370</v>
      </c>
      <c r="G157">
        <v>26</v>
      </c>
      <c r="H157">
        <v>32</v>
      </c>
      <c r="I157" s="10">
        <v>0.8125</v>
      </c>
    </row>
    <row r="158" spans="1:9" ht="30" x14ac:dyDescent="0.25">
      <c r="A158" s="11" t="s">
        <v>143</v>
      </c>
      <c r="B158">
        <v>2024</v>
      </c>
      <c r="C158" t="s">
        <v>627</v>
      </c>
      <c r="D158" t="s">
        <v>14</v>
      </c>
      <c r="E158" t="s">
        <v>353</v>
      </c>
      <c r="F158" s="2" t="s">
        <v>370</v>
      </c>
      <c r="G158">
        <v>23</v>
      </c>
      <c r="H158">
        <v>33</v>
      </c>
      <c r="I158" s="10">
        <v>0.69696969696969702</v>
      </c>
    </row>
    <row r="159" spans="1:9" ht="30" x14ac:dyDescent="0.25">
      <c r="A159" s="11" t="s">
        <v>143</v>
      </c>
      <c r="B159">
        <v>2024</v>
      </c>
      <c r="C159" t="s">
        <v>628</v>
      </c>
      <c r="D159" t="s">
        <v>14</v>
      </c>
      <c r="E159" t="s">
        <v>353</v>
      </c>
      <c r="F159" s="2" t="s">
        <v>370</v>
      </c>
      <c r="G159">
        <v>22</v>
      </c>
      <c r="H159">
        <v>33</v>
      </c>
      <c r="I159" s="10">
        <v>0.66666666666666663</v>
      </c>
    </row>
    <row r="160" spans="1:9" ht="30" x14ac:dyDescent="0.25">
      <c r="A160" s="11" t="s">
        <v>143</v>
      </c>
      <c r="B160">
        <v>2024</v>
      </c>
      <c r="C160" t="s">
        <v>629</v>
      </c>
      <c r="D160" t="s">
        <v>14</v>
      </c>
      <c r="E160" t="s">
        <v>353</v>
      </c>
      <c r="F160" s="2" t="s">
        <v>370</v>
      </c>
      <c r="G160">
        <v>10</v>
      </c>
      <c r="H160">
        <v>33</v>
      </c>
      <c r="I160" s="10">
        <v>0.30303030303030304</v>
      </c>
    </row>
    <row r="161" spans="1:9" ht="30" x14ac:dyDescent="0.25">
      <c r="A161" s="11" t="s">
        <v>143</v>
      </c>
      <c r="B161">
        <v>2024</v>
      </c>
      <c r="C161" t="s">
        <v>626</v>
      </c>
      <c r="D161" t="s">
        <v>15</v>
      </c>
      <c r="E161" t="s">
        <v>559</v>
      </c>
      <c r="F161" s="2" t="s">
        <v>563</v>
      </c>
      <c r="G161">
        <v>33</v>
      </c>
      <c r="H161">
        <v>33</v>
      </c>
      <c r="I161" s="10">
        <v>1</v>
      </c>
    </row>
    <row r="162" spans="1:9" ht="30" x14ac:dyDescent="0.25">
      <c r="A162" s="11" t="s">
        <v>143</v>
      </c>
      <c r="B162">
        <v>2024</v>
      </c>
      <c r="C162" t="s">
        <v>627</v>
      </c>
      <c r="D162" t="s">
        <v>15</v>
      </c>
      <c r="E162" t="s">
        <v>559</v>
      </c>
      <c r="F162" s="2" t="s">
        <v>563</v>
      </c>
      <c r="G162">
        <v>33</v>
      </c>
      <c r="H162">
        <v>33</v>
      </c>
      <c r="I162" s="10">
        <v>1</v>
      </c>
    </row>
    <row r="163" spans="1:9" ht="30" x14ac:dyDescent="0.25">
      <c r="A163" s="11" t="s">
        <v>143</v>
      </c>
      <c r="B163">
        <v>2024</v>
      </c>
      <c r="C163" t="s">
        <v>628</v>
      </c>
      <c r="D163" t="s">
        <v>15</v>
      </c>
      <c r="E163" t="s">
        <v>559</v>
      </c>
      <c r="F163" s="2" t="s">
        <v>563</v>
      </c>
      <c r="G163">
        <v>32</v>
      </c>
      <c r="H163">
        <v>33</v>
      </c>
      <c r="I163" s="10">
        <v>0.96969696969696972</v>
      </c>
    </row>
    <row r="164" spans="1:9" ht="30" x14ac:dyDescent="0.25">
      <c r="A164" s="11" t="s">
        <v>143</v>
      </c>
      <c r="B164">
        <v>2024</v>
      </c>
      <c r="C164" t="s">
        <v>629</v>
      </c>
      <c r="D164" t="s">
        <v>15</v>
      </c>
      <c r="E164" t="s">
        <v>559</v>
      </c>
      <c r="F164" s="2" t="s">
        <v>563</v>
      </c>
      <c r="G164">
        <v>32</v>
      </c>
      <c r="H164">
        <v>32</v>
      </c>
      <c r="I164" s="10">
        <v>1</v>
      </c>
    </row>
    <row r="165" spans="1:9" ht="30" x14ac:dyDescent="0.25">
      <c r="A165" s="11" t="s">
        <v>143</v>
      </c>
      <c r="B165">
        <v>2024</v>
      </c>
      <c r="C165" t="s">
        <v>626</v>
      </c>
      <c r="D165" t="s">
        <v>15</v>
      </c>
      <c r="E165" t="s">
        <v>34</v>
      </c>
      <c r="F165" s="2" t="s">
        <v>586</v>
      </c>
      <c r="G165">
        <v>72</v>
      </c>
      <c r="H165">
        <v>72</v>
      </c>
      <c r="I165" s="10">
        <v>1</v>
      </c>
    </row>
    <row r="166" spans="1:9" ht="30" x14ac:dyDescent="0.25">
      <c r="A166" s="11" t="s">
        <v>143</v>
      </c>
      <c r="B166">
        <v>2024</v>
      </c>
      <c r="C166" t="s">
        <v>627</v>
      </c>
      <c r="D166" t="s">
        <v>15</v>
      </c>
      <c r="E166" t="s">
        <v>34</v>
      </c>
      <c r="F166" s="2" t="s">
        <v>586</v>
      </c>
      <c r="G166">
        <v>71</v>
      </c>
      <c r="H166">
        <v>71</v>
      </c>
      <c r="I166" s="10">
        <v>1</v>
      </c>
    </row>
    <row r="167" spans="1:9" ht="30" x14ac:dyDescent="0.25">
      <c r="A167" s="11" t="s">
        <v>143</v>
      </c>
      <c r="B167">
        <v>2024</v>
      </c>
      <c r="C167" t="s">
        <v>628</v>
      </c>
      <c r="D167" t="s">
        <v>15</v>
      </c>
      <c r="E167" t="s">
        <v>34</v>
      </c>
      <c r="F167" s="2" t="s">
        <v>586</v>
      </c>
      <c r="G167">
        <v>72</v>
      </c>
      <c r="H167">
        <v>72</v>
      </c>
      <c r="I167" s="10">
        <v>1</v>
      </c>
    </row>
    <row r="168" spans="1:9" ht="30" x14ac:dyDescent="0.25">
      <c r="A168" s="11" t="s">
        <v>143</v>
      </c>
      <c r="B168">
        <v>2024</v>
      </c>
      <c r="C168" t="s">
        <v>629</v>
      </c>
      <c r="D168" t="s">
        <v>15</v>
      </c>
      <c r="E168" t="s">
        <v>34</v>
      </c>
      <c r="F168" s="2" t="s">
        <v>586</v>
      </c>
      <c r="G168">
        <v>72</v>
      </c>
      <c r="H168">
        <v>72</v>
      </c>
      <c r="I168" s="10">
        <v>1</v>
      </c>
    </row>
    <row r="169" spans="1:9" ht="30" x14ac:dyDescent="0.25">
      <c r="A169" s="11" t="s">
        <v>144</v>
      </c>
      <c r="B169">
        <v>2024</v>
      </c>
      <c r="C169" t="s">
        <v>626</v>
      </c>
      <c r="D169" t="s">
        <v>11</v>
      </c>
      <c r="E169" t="s">
        <v>184</v>
      </c>
      <c r="F169" s="2" t="s">
        <v>193</v>
      </c>
      <c r="G169">
        <v>163</v>
      </c>
      <c r="H169">
        <v>220</v>
      </c>
      <c r="I169" s="10">
        <v>0.74090909090909096</v>
      </c>
    </row>
    <row r="170" spans="1:9" ht="30" x14ac:dyDescent="0.25">
      <c r="A170" s="11" t="s">
        <v>144</v>
      </c>
      <c r="B170">
        <v>2024</v>
      </c>
      <c r="C170" t="s">
        <v>627</v>
      </c>
      <c r="D170" t="s">
        <v>11</v>
      </c>
      <c r="E170" t="s">
        <v>184</v>
      </c>
      <c r="F170" s="2" t="s">
        <v>193</v>
      </c>
      <c r="G170">
        <v>192</v>
      </c>
      <c r="H170">
        <v>258</v>
      </c>
      <c r="I170" s="10">
        <v>0.7441860465116279</v>
      </c>
    </row>
    <row r="171" spans="1:9" ht="30" x14ac:dyDescent="0.25">
      <c r="A171" s="11" t="s">
        <v>144</v>
      </c>
      <c r="B171">
        <v>2024</v>
      </c>
      <c r="C171" t="s">
        <v>628</v>
      </c>
      <c r="D171" t="s">
        <v>11</v>
      </c>
      <c r="E171" t="s">
        <v>184</v>
      </c>
      <c r="F171" s="2" t="s">
        <v>193</v>
      </c>
      <c r="G171">
        <v>225</v>
      </c>
      <c r="H171">
        <v>272</v>
      </c>
      <c r="I171" s="10">
        <v>0.82720588235294112</v>
      </c>
    </row>
    <row r="172" spans="1:9" ht="30" x14ac:dyDescent="0.25">
      <c r="A172" s="11" t="s">
        <v>144</v>
      </c>
      <c r="B172">
        <v>2024</v>
      </c>
      <c r="C172" t="s">
        <v>629</v>
      </c>
      <c r="D172" t="s">
        <v>11</v>
      </c>
      <c r="E172" t="s">
        <v>184</v>
      </c>
      <c r="F172" s="2" t="s">
        <v>193</v>
      </c>
      <c r="G172">
        <v>143</v>
      </c>
      <c r="H172">
        <v>166</v>
      </c>
      <c r="I172" s="10">
        <v>0.86144578313253017</v>
      </c>
    </row>
    <row r="173" spans="1:9" ht="30" x14ac:dyDescent="0.25">
      <c r="A173" s="11" t="s">
        <v>144</v>
      </c>
      <c r="B173">
        <v>2024</v>
      </c>
      <c r="C173" t="s">
        <v>626</v>
      </c>
      <c r="D173" t="s">
        <v>11</v>
      </c>
      <c r="E173" t="s">
        <v>20</v>
      </c>
      <c r="F173" s="2" t="s">
        <v>236</v>
      </c>
      <c r="G173">
        <v>1</v>
      </c>
      <c r="H173">
        <v>7</v>
      </c>
      <c r="I173" s="10">
        <v>0.14285714285714285</v>
      </c>
    </row>
    <row r="174" spans="1:9" ht="30" x14ac:dyDescent="0.25">
      <c r="A174" s="11" t="s">
        <v>144</v>
      </c>
      <c r="B174">
        <v>2024</v>
      </c>
      <c r="C174" t="s">
        <v>627</v>
      </c>
      <c r="D174" t="s">
        <v>11</v>
      </c>
      <c r="E174" t="s">
        <v>20</v>
      </c>
      <c r="F174" s="2" t="s">
        <v>236</v>
      </c>
      <c r="G174">
        <v>3</v>
      </c>
      <c r="H174">
        <v>6</v>
      </c>
      <c r="I174" s="10">
        <v>0.5</v>
      </c>
    </row>
    <row r="175" spans="1:9" ht="30" x14ac:dyDescent="0.25">
      <c r="A175" s="11" t="s">
        <v>144</v>
      </c>
      <c r="B175">
        <v>2024</v>
      </c>
      <c r="C175" t="s">
        <v>628</v>
      </c>
      <c r="D175" t="s">
        <v>11</v>
      </c>
      <c r="E175" t="s">
        <v>20</v>
      </c>
      <c r="F175" s="2" t="s">
        <v>236</v>
      </c>
      <c r="G175">
        <v>11</v>
      </c>
      <c r="H175">
        <v>12</v>
      </c>
      <c r="I175" s="10">
        <v>0.91666666666666663</v>
      </c>
    </row>
    <row r="176" spans="1:9" ht="30" x14ac:dyDescent="0.25">
      <c r="A176" s="11" t="s">
        <v>144</v>
      </c>
      <c r="B176">
        <v>2024</v>
      </c>
      <c r="C176" t="s">
        <v>626</v>
      </c>
      <c r="D176" t="s">
        <v>11</v>
      </c>
      <c r="E176" t="s">
        <v>21</v>
      </c>
      <c r="F176" s="2" t="s">
        <v>245</v>
      </c>
      <c r="G176">
        <v>66</v>
      </c>
      <c r="H176">
        <v>67</v>
      </c>
      <c r="I176" s="10">
        <v>0.9850746268656716</v>
      </c>
    </row>
    <row r="177" spans="1:9" ht="30" x14ac:dyDescent="0.25">
      <c r="A177" s="11" t="s">
        <v>144</v>
      </c>
      <c r="B177">
        <v>2024</v>
      </c>
      <c r="C177" t="s">
        <v>627</v>
      </c>
      <c r="D177" t="s">
        <v>11</v>
      </c>
      <c r="E177" t="s">
        <v>21</v>
      </c>
      <c r="F177" s="2" t="s">
        <v>245</v>
      </c>
      <c r="G177">
        <v>87</v>
      </c>
      <c r="H177">
        <v>87</v>
      </c>
      <c r="I177" s="10">
        <v>1</v>
      </c>
    </row>
    <row r="178" spans="1:9" ht="30" x14ac:dyDescent="0.25">
      <c r="A178" s="11" t="s">
        <v>144</v>
      </c>
      <c r="B178">
        <v>2024</v>
      </c>
      <c r="C178" t="s">
        <v>628</v>
      </c>
      <c r="D178" t="s">
        <v>11</v>
      </c>
      <c r="E178" t="s">
        <v>21</v>
      </c>
      <c r="F178" s="2" t="s">
        <v>245</v>
      </c>
      <c r="G178">
        <v>86</v>
      </c>
      <c r="H178">
        <v>86</v>
      </c>
      <c r="I178" s="10">
        <v>1</v>
      </c>
    </row>
    <row r="179" spans="1:9" ht="30" x14ac:dyDescent="0.25">
      <c r="A179" s="11" t="s">
        <v>144</v>
      </c>
      <c r="B179">
        <v>2024</v>
      </c>
      <c r="C179" t="s">
        <v>629</v>
      </c>
      <c r="D179" t="s">
        <v>11</v>
      </c>
      <c r="E179" t="s">
        <v>21</v>
      </c>
      <c r="F179" s="2" t="s">
        <v>245</v>
      </c>
      <c r="G179">
        <v>79</v>
      </c>
      <c r="H179">
        <v>79</v>
      </c>
      <c r="I179" s="10">
        <v>1</v>
      </c>
    </row>
    <row r="180" spans="1:9" ht="30" x14ac:dyDescent="0.25">
      <c r="A180" s="11" t="s">
        <v>144</v>
      </c>
      <c r="B180">
        <v>2024</v>
      </c>
      <c r="C180" t="s">
        <v>626</v>
      </c>
      <c r="D180" t="s">
        <v>11</v>
      </c>
      <c r="E180" t="s">
        <v>261</v>
      </c>
      <c r="F180" s="2" t="s">
        <v>262</v>
      </c>
      <c r="G180">
        <v>62</v>
      </c>
      <c r="H180">
        <v>63</v>
      </c>
      <c r="I180" s="10">
        <v>0.98412698412698407</v>
      </c>
    </row>
    <row r="181" spans="1:9" ht="30" x14ac:dyDescent="0.25">
      <c r="A181" s="11" t="s">
        <v>144</v>
      </c>
      <c r="B181">
        <v>2024</v>
      </c>
      <c r="C181" t="s">
        <v>627</v>
      </c>
      <c r="D181" t="s">
        <v>11</v>
      </c>
      <c r="E181" t="s">
        <v>261</v>
      </c>
      <c r="F181" s="2" t="s">
        <v>262</v>
      </c>
      <c r="G181">
        <v>78</v>
      </c>
      <c r="H181">
        <v>78</v>
      </c>
      <c r="I181" s="10">
        <v>1</v>
      </c>
    </row>
    <row r="182" spans="1:9" ht="30" x14ac:dyDescent="0.25">
      <c r="A182" s="11" t="s">
        <v>144</v>
      </c>
      <c r="B182">
        <v>2024</v>
      </c>
      <c r="C182" t="s">
        <v>628</v>
      </c>
      <c r="D182" t="s">
        <v>11</v>
      </c>
      <c r="E182" t="s">
        <v>261</v>
      </c>
      <c r="F182" s="2" t="s">
        <v>262</v>
      </c>
      <c r="G182">
        <v>84</v>
      </c>
      <c r="H182">
        <v>84</v>
      </c>
      <c r="I182" s="10">
        <v>1</v>
      </c>
    </row>
    <row r="183" spans="1:9" ht="30" x14ac:dyDescent="0.25">
      <c r="A183" s="11" t="s">
        <v>144</v>
      </c>
      <c r="B183">
        <v>2024</v>
      </c>
      <c r="C183" t="s">
        <v>629</v>
      </c>
      <c r="D183" t="s">
        <v>11</v>
      </c>
      <c r="E183" t="s">
        <v>261</v>
      </c>
      <c r="F183" s="2" t="s">
        <v>262</v>
      </c>
      <c r="G183">
        <v>72</v>
      </c>
      <c r="H183">
        <v>72</v>
      </c>
      <c r="I183" s="10">
        <v>1</v>
      </c>
    </row>
    <row r="184" spans="1:9" ht="30" x14ac:dyDescent="0.25">
      <c r="A184" s="11" t="s">
        <v>144</v>
      </c>
      <c r="B184">
        <v>2024</v>
      </c>
      <c r="C184" t="s">
        <v>626</v>
      </c>
      <c r="D184" t="s">
        <v>11</v>
      </c>
      <c r="E184" t="s">
        <v>273</v>
      </c>
      <c r="F184" s="2" t="s">
        <v>274</v>
      </c>
      <c r="G184">
        <v>57</v>
      </c>
      <c r="H184">
        <v>63</v>
      </c>
      <c r="I184" s="10">
        <v>0.90476190476190477</v>
      </c>
    </row>
    <row r="185" spans="1:9" ht="30" x14ac:dyDescent="0.25">
      <c r="A185" s="11" t="s">
        <v>144</v>
      </c>
      <c r="B185">
        <v>2024</v>
      </c>
      <c r="C185" t="s">
        <v>627</v>
      </c>
      <c r="D185" t="s">
        <v>11</v>
      </c>
      <c r="E185" t="s">
        <v>273</v>
      </c>
      <c r="F185" s="2" t="s">
        <v>274</v>
      </c>
      <c r="G185">
        <v>64</v>
      </c>
      <c r="H185">
        <v>78</v>
      </c>
      <c r="I185" s="10">
        <v>0.82051282051282048</v>
      </c>
    </row>
    <row r="186" spans="1:9" ht="30" x14ac:dyDescent="0.25">
      <c r="A186" s="11" t="s">
        <v>144</v>
      </c>
      <c r="B186">
        <v>2024</v>
      </c>
      <c r="C186" t="s">
        <v>628</v>
      </c>
      <c r="D186" t="s">
        <v>11</v>
      </c>
      <c r="E186" t="s">
        <v>273</v>
      </c>
      <c r="F186" s="2" t="s">
        <v>274</v>
      </c>
      <c r="G186">
        <v>66</v>
      </c>
      <c r="H186">
        <v>84</v>
      </c>
      <c r="I186" s="10">
        <v>0.7857142857142857</v>
      </c>
    </row>
    <row r="187" spans="1:9" ht="30" x14ac:dyDescent="0.25">
      <c r="A187" s="11" t="s">
        <v>144</v>
      </c>
      <c r="B187">
        <v>2024</v>
      </c>
      <c r="C187" t="s">
        <v>629</v>
      </c>
      <c r="D187" t="s">
        <v>11</v>
      </c>
      <c r="E187" t="s">
        <v>273</v>
      </c>
      <c r="F187" s="2" t="s">
        <v>274</v>
      </c>
      <c r="G187">
        <v>52</v>
      </c>
      <c r="H187">
        <v>72</v>
      </c>
      <c r="I187" s="10">
        <v>0.72222222222222221</v>
      </c>
    </row>
    <row r="188" spans="1:9" ht="30" x14ac:dyDescent="0.25">
      <c r="A188" s="11" t="s">
        <v>144</v>
      </c>
      <c r="B188">
        <v>2024</v>
      </c>
      <c r="C188" t="s">
        <v>626</v>
      </c>
      <c r="D188" t="s">
        <v>14</v>
      </c>
      <c r="E188" t="s">
        <v>315</v>
      </c>
      <c r="F188" s="2" t="s">
        <v>326</v>
      </c>
      <c r="G188">
        <v>16</v>
      </c>
      <c r="H188">
        <v>18</v>
      </c>
      <c r="I188" s="10">
        <v>0.88888888888888884</v>
      </c>
    </row>
    <row r="189" spans="1:9" ht="30" x14ac:dyDescent="0.25">
      <c r="A189" s="11" t="s">
        <v>144</v>
      </c>
      <c r="B189">
        <v>2024</v>
      </c>
      <c r="C189" t="s">
        <v>627</v>
      </c>
      <c r="D189" t="s">
        <v>14</v>
      </c>
      <c r="E189" t="s">
        <v>315</v>
      </c>
      <c r="F189" s="2" t="s">
        <v>326</v>
      </c>
      <c r="G189">
        <v>21</v>
      </c>
      <c r="H189">
        <v>35</v>
      </c>
      <c r="I189" s="10">
        <v>0.6</v>
      </c>
    </row>
    <row r="190" spans="1:9" ht="30" x14ac:dyDescent="0.25">
      <c r="A190" s="11" t="s">
        <v>144</v>
      </c>
      <c r="B190">
        <v>2024</v>
      </c>
      <c r="C190" t="s">
        <v>628</v>
      </c>
      <c r="D190" t="s">
        <v>14</v>
      </c>
      <c r="E190" t="s">
        <v>315</v>
      </c>
      <c r="F190" s="2" t="s">
        <v>326</v>
      </c>
      <c r="G190">
        <v>29</v>
      </c>
      <c r="H190">
        <v>33</v>
      </c>
      <c r="I190" s="10">
        <v>0.87878787878787878</v>
      </c>
    </row>
    <row r="191" spans="1:9" ht="30" x14ac:dyDescent="0.25">
      <c r="A191" s="11" t="s">
        <v>144</v>
      </c>
      <c r="B191">
        <v>2024</v>
      </c>
      <c r="C191" t="s">
        <v>629</v>
      </c>
      <c r="D191" t="s">
        <v>14</v>
      </c>
      <c r="E191" t="s">
        <v>315</v>
      </c>
      <c r="F191" s="2" t="s">
        <v>326</v>
      </c>
      <c r="G191">
        <v>24</v>
      </c>
      <c r="H191">
        <v>30</v>
      </c>
      <c r="I191" s="10">
        <v>0.8</v>
      </c>
    </row>
    <row r="192" spans="1:9" ht="30" x14ac:dyDescent="0.25">
      <c r="A192" s="11" t="s">
        <v>144</v>
      </c>
      <c r="B192">
        <v>2024</v>
      </c>
      <c r="C192" t="s">
        <v>626</v>
      </c>
      <c r="D192" t="s">
        <v>14</v>
      </c>
      <c r="E192" t="s">
        <v>353</v>
      </c>
      <c r="F192" s="2" t="s">
        <v>373</v>
      </c>
      <c r="G192">
        <v>15</v>
      </c>
      <c r="H192">
        <v>18</v>
      </c>
      <c r="I192" s="10">
        <v>0.83333333333333337</v>
      </c>
    </row>
    <row r="193" spans="1:9" ht="30" x14ac:dyDescent="0.25">
      <c r="A193" s="11" t="s">
        <v>144</v>
      </c>
      <c r="B193">
        <v>2024</v>
      </c>
      <c r="C193" t="s">
        <v>627</v>
      </c>
      <c r="D193" t="s">
        <v>14</v>
      </c>
      <c r="E193" t="s">
        <v>353</v>
      </c>
      <c r="F193" s="2" t="s">
        <v>373</v>
      </c>
      <c r="G193">
        <v>35</v>
      </c>
      <c r="H193">
        <v>35</v>
      </c>
      <c r="I193" s="10">
        <v>1</v>
      </c>
    </row>
    <row r="194" spans="1:9" ht="30" x14ac:dyDescent="0.25">
      <c r="A194" s="11" t="s">
        <v>144</v>
      </c>
      <c r="B194">
        <v>2024</v>
      </c>
      <c r="C194" t="s">
        <v>628</v>
      </c>
      <c r="D194" t="s">
        <v>14</v>
      </c>
      <c r="E194" t="s">
        <v>353</v>
      </c>
      <c r="F194" s="2" t="s">
        <v>373</v>
      </c>
      <c r="G194">
        <v>33</v>
      </c>
      <c r="H194">
        <v>33</v>
      </c>
      <c r="I194" s="10">
        <v>1</v>
      </c>
    </row>
    <row r="195" spans="1:9" ht="30" x14ac:dyDescent="0.25">
      <c r="A195" s="11" t="s">
        <v>144</v>
      </c>
      <c r="B195">
        <v>2024</v>
      </c>
      <c r="C195" t="s">
        <v>629</v>
      </c>
      <c r="D195" t="s">
        <v>14</v>
      </c>
      <c r="E195" t="s">
        <v>353</v>
      </c>
      <c r="F195" s="2" t="s">
        <v>373</v>
      </c>
      <c r="G195">
        <v>27</v>
      </c>
      <c r="H195">
        <v>30</v>
      </c>
      <c r="I195" s="10">
        <v>0.9</v>
      </c>
    </row>
    <row r="196" spans="1:9" ht="30" x14ac:dyDescent="0.25">
      <c r="A196" s="11" t="s">
        <v>144</v>
      </c>
      <c r="B196">
        <v>2024</v>
      </c>
      <c r="C196" t="s">
        <v>626</v>
      </c>
      <c r="D196" t="s">
        <v>15</v>
      </c>
      <c r="E196" t="s">
        <v>559</v>
      </c>
      <c r="F196" s="2" t="s">
        <v>566</v>
      </c>
      <c r="G196">
        <v>29</v>
      </c>
      <c r="H196">
        <v>29</v>
      </c>
      <c r="I196" s="10">
        <v>1</v>
      </c>
    </row>
    <row r="197" spans="1:9" ht="30" x14ac:dyDescent="0.25">
      <c r="A197" s="11" t="s">
        <v>144</v>
      </c>
      <c r="B197">
        <v>2024</v>
      </c>
      <c r="C197" t="s">
        <v>627</v>
      </c>
      <c r="D197" t="s">
        <v>15</v>
      </c>
      <c r="E197" t="s">
        <v>559</v>
      </c>
      <c r="F197" s="2" t="s">
        <v>566</v>
      </c>
      <c r="G197">
        <v>29</v>
      </c>
      <c r="H197">
        <v>29</v>
      </c>
      <c r="I197" s="10">
        <v>1</v>
      </c>
    </row>
    <row r="198" spans="1:9" ht="30" x14ac:dyDescent="0.25">
      <c r="A198" s="11" t="s">
        <v>144</v>
      </c>
      <c r="B198">
        <v>2024</v>
      </c>
      <c r="C198" t="s">
        <v>628</v>
      </c>
      <c r="D198" t="s">
        <v>15</v>
      </c>
      <c r="E198" t="s">
        <v>559</v>
      </c>
      <c r="F198" s="2" t="s">
        <v>566</v>
      </c>
      <c r="G198">
        <v>26</v>
      </c>
      <c r="H198">
        <v>26</v>
      </c>
      <c r="I198" s="10">
        <v>1</v>
      </c>
    </row>
    <row r="199" spans="1:9" ht="30" x14ac:dyDescent="0.25">
      <c r="A199" s="11" t="s">
        <v>144</v>
      </c>
      <c r="B199">
        <v>2024</v>
      </c>
      <c r="C199" t="s">
        <v>629</v>
      </c>
      <c r="D199" t="s">
        <v>15</v>
      </c>
      <c r="E199" t="s">
        <v>559</v>
      </c>
      <c r="F199" s="2" t="s">
        <v>566</v>
      </c>
      <c r="G199">
        <v>30</v>
      </c>
      <c r="H199">
        <v>30</v>
      </c>
      <c r="I199" s="10">
        <v>1</v>
      </c>
    </row>
    <row r="200" spans="1:9" ht="30" x14ac:dyDescent="0.25">
      <c r="A200" s="11" t="s">
        <v>144</v>
      </c>
      <c r="B200">
        <v>2024</v>
      </c>
      <c r="C200" t="s">
        <v>626</v>
      </c>
      <c r="D200" t="s">
        <v>15</v>
      </c>
      <c r="E200" t="s">
        <v>34</v>
      </c>
      <c r="F200" s="2" t="s">
        <v>589</v>
      </c>
      <c r="G200">
        <v>72</v>
      </c>
      <c r="H200">
        <v>72</v>
      </c>
      <c r="I200" s="10">
        <v>1</v>
      </c>
    </row>
    <row r="201" spans="1:9" ht="30" x14ac:dyDescent="0.25">
      <c r="A201" s="11" t="s">
        <v>144</v>
      </c>
      <c r="B201">
        <v>2024</v>
      </c>
      <c r="C201" t="s">
        <v>627</v>
      </c>
      <c r="D201" t="s">
        <v>15</v>
      </c>
      <c r="E201" t="s">
        <v>34</v>
      </c>
      <c r="F201" s="2" t="s">
        <v>589</v>
      </c>
      <c r="G201">
        <v>71</v>
      </c>
      <c r="H201">
        <v>71</v>
      </c>
      <c r="I201" s="10">
        <v>1</v>
      </c>
    </row>
    <row r="202" spans="1:9" ht="30" x14ac:dyDescent="0.25">
      <c r="A202" s="11" t="s">
        <v>144</v>
      </c>
      <c r="B202">
        <v>2024</v>
      </c>
      <c r="C202" t="s">
        <v>628</v>
      </c>
      <c r="D202" t="s">
        <v>15</v>
      </c>
      <c r="E202" t="s">
        <v>34</v>
      </c>
      <c r="F202" s="2" t="s">
        <v>589</v>
      </c>
      <c r="G202">
        <v>72</v>
      </c>
      <c r="H202">
        <v>72</v>
      </c>
      <c r="I202" s="10">
        <v>1</v>
      </c>
    </row>
    <row r="203" spans="1:9" ht="30" x14ac:dyDescent="0.25">
      <c r="A203" s="11" t="s">
        <v>144</v>
      </c>
      <c r="B203">
        <v>2024</v>
      </c>
      <c r="C203" t="s">
        <v>629</v>
      </c>
      <c r="D203" t="s">
        <v>15</v>
      </c>
      <c r="E203" t="s">
        <v>34</v>
      </c>
      <c r="F203" s="2" t="s">
        <v>589</v>
      </c>
      <c r="G203">
        <v>72</v>
      </c>
      <c r="H203">
        <v>72</v>
      </c>
      <c r="I203" s="10">
        <v>1</v>
      </c>
    </row>
    <row r="204" spans="1:9" ht="30" x14ac:dyDescent="0.25">
      <c r="A204" s="11" t="s">
        <v>159</v>
      </c>
      <c r="B204">
        <v>2024</v>
      </c>
      <c r="C204" t="s">
        <v>626</v>
      </c>
      <c r="D204" t="s">
        <v>11</v>
      </c>
      <c r="E204" t="s">
        <v>165</v>
      </c>
      <c r="F204" s="2" t="s">
        <v>166</v>
      </c>
      <c r="G204">
        <v>29</v>
      </c>
      <c r="H204">
        <v>32</v>
      </c>
      <c r="I204" s="10">
        <v>0.90625</v>
      </c>
    </row>
    <row r="205" spans="1:9" ht="30" x14ac:dyDescent="0.25">
      <c r="A205" s="11" t="s">
        <v>159</v>
      </c>
      <c r="B205">
        <v>2024</v>
      </c>
      <c r="C205" t="s">
        <v>627</v>
      </c>
      <c r="D205" t="s">
        <v>11</v>
      </c>
      <c r="E205" t="s">
        <v>165</v>
      </c>
      <c r="F205" s="2" t="s">
        <v>166</v>
      </c>
      <c r="G205">
        <v>26</v>
      </c>
      <c r="H205">
        <v>32</v>
      </c>
      <c r="I205" s="10">
        <v>0.8125</v>
      </c>
    </row>
    <row r="206" spans="1:9" ht="30" x14ac:dyDescent="0.25">
      <c r="A206" s="11" t="s">
        <v>159</v>
      </c>
      <c r="B206">
        <v>2024</v>
      </c>
      <c r="C206" t="s">
        <v>628</v>
      </c>
      <c r="D206" t="s">
        <v>11</v>
      </c>
      <c r="E206" t="s">
        <v>165</v>
      </c>
      <c r="F206" s="2" t="s">
        <v>166</v>
      </c>
      <c r="G206">
        <v>29</v>
      </c>
      <c r="H206">
        <v>32</v>
      </c>
      <c r="I206" s="10">
        <v>0.90625</v>
      </c>
    </row>
    <row r="207" spans="1:9" ht="30" x14ac:dyDescent="0.25">
      <c r="A207" s="11" t="s">
        <v>159</v>
      </c>
      <c r="B207">
        <v>2024</v>
      </c>
      <c r="C207" t="s">
        <v>629</v>
      </c>
      <c r="D207" t="s">
        <v>11</v>
      </c>
      <c r="E207" t="s">
        <v>165</v>
      </c>
      <c r="F207" s="2" t="s">
        <v>166</v>
      </c>
      <c r="G207">
        <v>29</v>
      </c>
      <c r="H207">
        <v>34</v>
      </c>
      <c r="I207" s="10">
        <v>0.8529411764705882</v>
      </c>
    </row>
    <row r="208" spans="1:9" ht="30" x14ac:dyDescent="0.25">
      <c r="A208" s="11" t="s">
        <v>159</v>
      </c>
      <c r="B208">
        <v>2024</v>
      </c>
      <c r="C208" t="s">
        <v>626</v>
      </c>
      <c r="D208" t="s">
        <v>11</v>
      </c>
      <c r="E208" t="s">
        <v>184</v>
      </c>
      <c r="F208" s="2" t="s">
        <v>40</v>
      </c>
      <c r="G208">
        <v>34</v>
      </c>
      <c r="H208">
        <v>39</v>
      </c>
      <c r="I208" s="10">
        <v>0.87179487179487181</v>
      </c>
    </row>
    <row r="209" spans="1:9" ht="30" x14ac:dyDescent="0.25">
      <c r="A209" s="11" t="s">
        <v>159</v>
      </c>
      <c r="B209">
        <v>2024</v>
      </c>
      <c r="C209" t="s">
        <v>627</v>
      </c>
      <c r="D209" t="s">
        <v>11</v>
      </c>
      <c r="E209" t="s">
        <v>184</v>
      </c>
      <c r="F209" s="2" t="s">
        <v>40</v>
      </c>
      <c r="G209">
        <v>39</v>
      </c>
      <c r="H209">
        <v>39</v>
      </c>
      <c r="I209" s="10">
        <v>1</v>
      </c>
    </row>
    <row r="210" spans="1:9" ht="30" x14ac:dyDescent="0.25">
      <c r="A210" s="11" t="s">
        <v>159</v>
      </c>
      <c r="B210">
        <v>2024</v>
      </c>
      <c r="C210" t="s">
        <v>628</v>
      </c>
      <c r="D210" t="s">
        <v>11</v>
      </c>
      <c r="E210" t="s">
        <v>184</v>
      </c>
      <c r="F210" s="2" t="s">
        <v>40</v>
      </c>
      <c r="G210">
        <v>39</v>
      </c>
      <c r="H210">
        <v>39</v>
      </c>
      <c r="I210" s="10">
        <v>1</v>
      </c>
    </row>
    <row r="211" spans="1:9" ht="30" x14ac:dyDescent="0.25">
      <c r="A211" s="11" t="s">
        <v>159</v>
      </c>
      <c r="B211">
        <v>2024</v>
      </c>
      <c r="C211" t="s">
        <v>629</v>
      </c>
      <c r="D211" t="s">
        <v>11</v>
      </c>
      <c r="E211" t="s">
        <v>184</v>
      </c>
      <c r="F211" s="2" t="s">
        <v>40</v>
      </c>
      <c r="G211">
        <v>30</v>
      </c>
      <c r="H211">
        <v>39</v>
      </c>
      <c r="I211" s="10">
        <v>0.76923076923076927</v>
      </c>
    </row>
    <row r="212" spans="1:9" ht="30" x14ac:dyDescent="0.25">
      <c r="A212" s="11" t="s">
        <v>159</v>
      </c>
      <c r="B212">
        <v>2024</v>
      </c>
      <c r="C212" t="s">
        <v>626</v>
      </c>
      <c r="D212" t="s">
        <v>11</v>
      </c>
      <c r="E212" t="s">
        <v>209</v>
      </c>
      <c r="F212" s="2" t="s">
        <v>210</v>
      </c>
      <c r="G212">
        <v>39</v>
      </c>
      <c r="H212">
        <v>39</v>
      </c>
      <c r="I212" s="10">
        <v>1</v>
      </c>
    </row>
    <row r="213" spans="1:9" ht="30" x14ac:dyDescent="0.25">
      <c r="A213" s="11" t="s">
        <v>159</v>
      </c>
      <c r="B213">
        <v>2024</v>
      </c>
      <c r="C213" t="s">
        <v>627</v>
      </c>
      <c r="D213" t="s">
        <v>11</v>
      </c>
      <c r="E213" t="s">
        <v>209</v>
      </c>
      <c r="F213" s="2" t="s">
        <v>210</v>
      </c>
      <c r="G213">
        <v>39</v>
      </c>
      <c r="H213">
        <v>39</v>
      </c>
      <c r="I213" s="10">
        <v>1</v>
      </c>
    </row>
    <row r="214" spans="1:9" ht="30" x14ac:dyDescent="0.25">
      <c r="A214" s="11" t="s">
        <v>159</v>
      </c>
      <c r="B214">
        <v>2024</v>
      </c>
      <c r="C214" t="s">
        <v>628</v>
      </c>
      <c r="D214" t="s">
        <v>11</v>
      </c>
      <c r="E214" t="s">
        <v>209</v>
      </c>
      <c r="F214" s="2" t="s">
        <v>210</v>
      </c>
      <c r="G214">
        <v>39</v>
      </c>
      <c r="H214">
        <v>39</v>
      </c>
      <c r="I214" s="10">
        <v>1</v>
      </c>
    </row>
    <row r="215" spans="1:9" ht="30" x14ac:dyDescent="0.25">
      <c r="A215" s="11" t="s">
        <v>159</v>
      </c>
      <c r="B215">
        <v>2024</v>
      </c>
      <c r="C215" t="s">
        <v>629</v>
      </c>
      <c r="D215" t="s">
        <v>11</v>
      </c>
      <c r="E215" t="s">
        <v>209</v>
      </c>
      <c r="F215" s="2" t="s">
        <v>210</v>
      </c>
      <c r="G215">
        <v>39</v>
      </c>
      <c r="H215">
        <v>39</v>
      </c>
      <c r="I215" s="10">
        <v>1</v>
      </c>
    </row>
    <row r="216" spans="1:9" ht="30" x14ac:dyDescent="0.25">
      <c r="A216" s="11" t="s">
        <v>159</v>
      </c>
      <c r="B216">
        <v>2024</v>
      </c>
      <c r="C216" t="s">
        <v>626</v>
      </c>
      <c r="D216" t="s">
        <v>11</v>
      </c>
      <c r="E216" t="s">
        <v>23</v>
      </c>
      <c r="F216" s="2" t="s">
        <v>43</v>
      </c>
      <c r="G216">
        <v>39</v>
      </c>
      <c r="H216">
        <v>39</v>
      </c>
      <c r="I216" s="10">
        <v>1</v>
      </c>
    </row>
    <row r="217" spans="1:9" ht="30" x14ac:dyDescent="0.25">
      <c r="A217" s="11" t="s">
        <v>159</v>
      </c>
      <c r="B217">
        <v>2024</v>
      </c>
      <c r="C217" t="s">
        <v>627</v>
      </c>
      <c r="D217" t="s">
        <v>11</v>
      </c>
      <c r="E217" t="s">
        <v>23</v>
      </c>
      <c r="F217" s="2" t="s">
        <v>43</v>
      </c>
      <c r="G217">
        <v>39</v>
      </c>
      <c r="H217">
        <v>39</v>
      </c>
      <c r="I217" s="10">
        <v>1</v>
      </c>
    </row>
    <row r="218" spans="1:9" ht="30" x14ac:dyDescent="0.25">
      <c r="A218" s="11" t="s">
        <v>159</v>
      </c>
      <c r="B218">
        <v>2024</v>
      </c>
      <c r="C218" t="s">
        <v>628</v>
      </c>
      <c r="D218" t="s">
        <v>11</v>
      </c>
      <c r="E218" t="s">
        <v>23</v>
      </c>
      <c r="F218" s="2" t="s">
        <v>43</v>
      </c>
      <c r="G218">
        <v>37</v>
      </c>
      <c r="H218">
        <v>39</v>
      </c>
      <c r="I218" s="10">
        <v>0.94871794871794868</v>
      </c>
    </row>
    <row r="219" spans="1:9" ht="30" x14ac:dyDescent="0.25">
      <c r="A219" s="11" t="s">
        <v>159</v>
      </c>
      <c r="B219">
        <v>2024</v>
      </c>
      <c r="C219" t="s">
        <v>629</v>
      </c>
      <c r="D219" t="s">
        <v>11</v>
      </c>
      <c r="E219" t="s">
        <v>23</v>
      </c>
      <c r="F219" s="2" t="s">
        <v>43</v>
      </c>
      <c r="G219">
        <v>37</v>
      </c>
      <c r="H219">
        <v>39</v>
      </c>
      <c r="I219" s="10">
        <v>0.94871794871794868</v>
      </c>
    </row>
    <row r="220" spans="1:9" ht="45" x14ac:dyDescent="0.25">
      <c r="A220" s="11" t="s">
        <v>159</v>
      </c>
      <c r="B220">
        <v>2024</v>
      </c>
      <c r="C220" t="s">
        <v>626</v>
      </c>
      <c r="D220" t="s">
        <v>11</v>
      </c>
      <c r="E220" t="s">
        <v>273</v>
      </c>
      <c r="F220" s="2" t="s">
        <v>284</v>
      </c>
      <c r="G220">
        <v>22</v>
      </c>
      <c r="H220">
        <v>25</v>
      </c>
      <c r="I220" s="10">
        <v>0.88</v>
      </c>
    </row>
    <row r="221" spans="1:9" ht="45" x14ac:dyDescent="0.25">
      <c r="A221" s="11" t="s">
        <v>159</v>
      </c>
      <c r="B221">
        <v>2024</v>
      </c>
      <c r="C221" t="s">
        <v>627</v>
      </c>
      <c r="D221" t="s">
        <v>11</v>
      </c>
      <c r="E221" t="s">
        <v>273</v>
      </c>
      <c r="F221" s="2" t="s">
        <v>284</v>
      </c>
      <c r="G221">
        <v>20</v>
      </c>
      <c r="H221">
        <v>26</v>
      </c>
      <c r="I221" s="10">
        <v>0.76923076923076927</v>
      </c>
    </row>
    <row r="222" spans="1:9" ht="45" x14ac:dyDescent="0.25">
      <c r="A222" s="11" t="s">
        <v>159</v>
      </c>
      <c r="B222">
        <v>2024</v>
      </c>
      <c r="C222" t="s">
        <v>628</v>
      </c>
      <c r="D222" t="s">
        <v>11</v>
      </c>
      <c r="E222" t="s">
        <v>273</v>
      </c>
      <c r="F222" s="2" t="s">
        <v>284</v>
      </c>
      <c r="G222">
        <v>18</v>
      </c>
      <c r="H222">
        <v>25</v>
      </c>
      <c r="I222" s="10">
        <v>0.72</v>
      </c>
    </row>
    <row r="223" spans="1:9" ht="45" x14ac:dyDescent="0.25">
      <c r="A223" s="11" t="s">
        <v>159</v>
      </c>
      <c r="B223">
        <v>2024</v>
      </c>
      <c r="C223" t="s">
        <v>629</v>
      </c>
      <c r="D223" t="s">
        <v>11</v>
      </c>
      <c r="E223" t="s">
        <v>273</v>
      </c>
      <c r="F223" s="2" t="s">
        <v>284</v>
      </c>
      <c r="G223">
        <v>22</v>
      </c>
      <c r="H223">
        <v>26</v>
      </c>
      <c r="I223" s="10">
        <v>0.84615384615384615</v>
      </c>
    </row>
    <row r="224" spans="1:9" ht="30" x14ac:dyDescent="0.25">
      <c r="A224" s="11" t="s">
        <v>159</v>
      </c>
      <c r="B224">
        <v>2024</v>
      </c>
      <c r="C224" t="s">
        <v>626</v>
      </c>
      <c r="D224" t="s">
        <v>14</v>
      </c>
      <c r="E224" t="s">
        <v>315</v>
      </c>
      <c r="F224" s="2" t="s">
        <v>332</v>
      </c>
      <c r="G224">
        <v>34</v>
      </c>
      <c r="H224">
        <v>34</v>
      </c>
      <c r="I224" s="10">
        <v>1</v>
      </c>
    </row>
    <row r="225" spans="1:9" ht="30" x14ac:dyDescent="0.25">
      <c r="A225" s="11" t="s">
        <v>159</v>
      </c>
      <c r="B225">
        <v>2024</v>
      </c>
      <c r="C225" t="s">
        <v>627</v>
      </c>
      <c r="D225" t="s">
        <v>14</v>
      </c>
      <c r="E225" t="s">
        <v>315</v>
      </c>
      <c r="F225" s="2" t="s">
        <v>332</v>
      </c>
      <c r="G225">
        <v>32</v>
      </c>
      <c r="H225">
        <v>34</v>
      </c>
      <c r="I225" s="10">
        <v>0.94117647058823528</v>
      </c>
    </row>
    <row r="226" spans="1:9" ht="30" x14ac:dyDescent="0.25">
      <c r="A226" s="11" t="s">
        <v>159</v>
      </c>
      <c r="B226">
        <v>2024</v>
      </c>
      <c r="C226" t="s">
        <v>628</v>
      </c>
      <c r="D226" t="s">
        <v>14</v>
      </c>
      <c r="E226" t="s">
        <v>315</v>
      </c>
      <c r="F226" s="2" t="s">
        <v>332</v>
      </c>
      <c r="G226">
        <v>34</v>
      </c>
      <c r="H226">
        <v>34</v>
      </c>
      <c r="I226" s="10">
        <v>1</v>
      </c>
    </row>
    <row r="227" spans="1:9" ht="30" x14ac:dyDescent="0.25">
      <c r="A227" s="11" t="s">
        <v>159</v>
      </c>
      <c r="B227">
        <v>2024</v>
      </c>
      <c r="C227" t="s">
        <v>629</v>
      </c>
      <c r="D227" t="s">
        <v>14</v>
      </c>
      <c r="E227" t="s">
        <v>315</v>
      </c>
      <c r="F227" s="2" t="s">
        <v>332</v>
      </c>
      <c r="G227">
        <v>34</v>
      </c>
      <c r="H227">
        <v>34</v>
      </c>
      <c r="I227" s="10">
        <v>1</v>
      </c>
    </row>
    <row r="228" spans="1:9" ht="30" x14ac:dyDescent="0.25">
      <c r="A228" s="11" t="s">
        <v>159</v>
      </c>
      <c r="B228">
        <v>2024</v>
      </c>
      <c r="C228" t="s">
        <v>140</v>
      </c>
      <c r="D228" t="s">
        <v>11</v>
      </c>
      <c r="E228" t="s">
        <v>21</v>
      </c>
      <c r="F228" s="2" t="s">
        <v>245</v>
      </c>
      <c r="G228">
        <v>14</v>
      </c>
      <c r="H228">
        <v>14</v>
      </c>
      <c r="I228" s="10">
        <v>1</v>
      </c>
    </row>
    <row r="229" spans="1:9" ht="30" x14ac:dyDescent="0.25">
      <c r="A229" s="11" t="s">
        <v>159</v>
      </c>
      <c r="B229">
        <v>2024</v>
      </c>
      <c r="C229" t="s">
        <v>626</v>
      </c>
      <c r="D229" t="s">
        <v>11</v>
      </c>
      <c r="E229" t="s">
        <v>21</v>
      </c>
      <c r="F229" s="2" t="s">
        <v>245</v>
      </c>
      <c r="G229">
        <v>10</v>
      </c>
      <c r="H229">
        <v>10</v>
      </c>
      <c r="I229" s="10">
        <v>1</v>
      </c>
    </row>
    <row r="230" spans="1:9" ht="30" x14ac:dyDescent="0.25">
      <c r="A230" s="11" t="s">
        <v>159</v>
      </c>
      <c r="B230">
        <v>2024</v>
      </c>
      <c r="C230" t="s">
        <v>630</v>
      </c>
      <c r="D230" t="s">
        <v>11</v>
      </c>
      <c r="E230" t="s">
        <v>21</v>
      </c>
      <c r="F230" s="2" t="s">
        <v>245</v>
      </c>
      <c r="G230">
        <v>8</v>
      </c>
      <c r="H230">
        <v>8</v>
      </c>
      <c r="I230" s="10">
        <v>1</v>
      </c>
    </row>
    <row r="231" spans="1:9" ht="30" x14ac:dyDescent="0.25">
      <c r="A231" s="11" t="s">
        <v>159</v>
      </c>
      <c r="B231">
        <v>2024</v>
      </c>
      <c r="C231" t="s">
        <v>142</v>
      </c>
      <c r="D231" t="s">
        <v>11</v>
      </c>
      <c r="E231" t="s">
        <v>21</v>
      </c>
      <c r="F231" s="2" t="s">
        <v>245</v>
      </c>
      <c r="G231">
        <v>15</v>
      </c>
      <c r="H231">
        <v>15</v>
      </c>
      <c r="I231" s="10">
        <v>1</v>
      </c>
    </row>
    <row r="232" spans="1:9" ht="30" x14ac:dyDescent="0.25">
      <c r="A232" s="11" t="s">
        <v>159</v>
      </c>
      <c r="B232">
        <v>2024</v>
      </c>
      <c r="C232" t="s">
        <v>627</v>
      </c>
      <c r="D232" t="s">
        <v>11</v>
      </c>
      <c r="E232" t="s">
        <v>21</v>
      </c>
      <c r="F232" s="2" t="s">
        <v>245</v>
      </c>
      <c r="G232">
        <v>15</v>
      </c>
      <c r="H232">
        <v>15</v>
      </c>
      <c r="I232" s="10">
        <v>1</v>
      </c>
    </row>
    <row r="233" spans="1:9" ht="30" x14ac:dyDescent="0.25">
      <c r="A233" s="11" t="s">
        <v>159</v>
      </c>
      <c r="B233">
        <v>2024</v>
      </c>
      <c r="C233" t="s">
        <v>631</v>
      </c>
      <c r="D233" t="s">
        <v>11</v>
      </c>
      <c r="E233" t="s">
        <v>21</v>
      </c>
      <c r="F233" s="2" t="s">
        <v>245</v>
      </c>
      <c r="G233">
        <v>11</v>
      </c>
      <c r="H233">
        <v>11</v>
      </c>
      <c r="I233" s="10">
        <v>1</v>
      </c>
    </row>
    <row r="234" spans="1:9" ht="30" x14ac:dyDescent="0.25">
      <c r="A234" s="11" t="s">
        <v>159</v>
      </c>
      <c r="B234">
        <v>2024</v>
      </c>
      <c r="C234" t="s">
        <v>632</v>
      </c>
      <c r="D234" t="s">
        <v>11</v>
      </c>
      <c r="E234" t="s">
        <v>21</v>
      </c>
      <c r="F234" s="2" t="s">
        <v>245</v>
      </c>
      <c r="G234">
        <v>13</v>
      </c>
      <c r="H234">
        <v>13</v>
      </c>
      <c r="I234" s="10">
        <v>1</v>
      </c>
    </row>
    <row r="235" spans="1:9" ht="30" x14ac:dyDescent="0.25">
      <c r="A235" s="11" t="s">
        <v>159</v>
      </c>
      <c r="B235">
        <v>2024</v>
      </c>
      <c r="C235" t="s">
        <v>628</v>
      </c>
      <c r="D235" t="s">
        <v>11</v>
      </c>
      <c r="E235" t="s">
        <v>21</v>
      </c>
      <c r="F235" s="2" t="s">
        <v>245</v>
      </c>
      <c r="G235">
        <v>9</v>
      </c>
      <c r="H235">
        <v>9</v>
      </c>
      <c r="I235" s="10">
        <v>1</v>
      </c>
    </row>
    <row r="236" spans="1:9" ht="30" x14ac:dyDescent="0.25">
      <c r="A236" s="11" t="s">
        <v>159</v>
      </c>
      <c r="B236">
        <v>2024</v>
      </c>
      <c r="C236" t="s">
        <v>633</v>
      </c>
      <c r="D236" t="s">
        <v>11</v>
      </c>
      <c r="E236" t="s">
        <v>21</v>
      </c>
      <c r="F236" s="2" t="s">
        <v>245</v>
      </c>
      <c r="G236">
        <v>10</v>
      </c>
      <c r="H236">
        <v>10</v>
      </c>
      <c r="I236" s="10">
        <v>1</v>
      </c>
    </row>
    <row r="237" spans="1:9" ht="30" x14ac:dyDescent="0.25">
      <c r="A237" s="11" t="s">
        <v>159</v>
      </c>
      <c r="B237">
        <v>2024</v>
      </c>
      <c r="C237" t="s">
        <v>634</v>
      </c>
      <c r="D237" t="s">
        <v>11</v>
      </c>
      <c r="E237" t="s">
        <v>21</v>
      </c>
      <c r="F237" s="2" t="s">
        <v>245</v>
      </c>
      <c r="G237">
        <v>10</v>
      </c>
      <c r="H237">
        <v>10</v>
      </c>
      <c r="I237" s="10">
        <v>1</v>
      </c>
    </row>
    <row r="238" spans="1:9" ht="30" x14ac:dyDescent="0.25">
      <c r="A238" s="11" t="s">
        <v>159</v>
      </c>
      <c r="B238">
        <v>2024</v>
      </c>
      <c r="C238" t="s">
        <v>629</v>
      </c>
      <c r="D238" t="s">
        <v>11</v>
      </c>
      <c r="E238" t="s">
        <v>21</v>
      </c>
      <c r="F238" s="2" t="s">
        <v>245</v>
      </c>
      <c r="G238">
        <v>10</v>
      </c>
      <c r="H238">
        <v>10</v>
      </c>
      <c r="I238" s="10">
        <v>1</v>
      </c>
    </row>
    <row r="239" spans="1:9" ht="30" x14ac:dyDescent="0.25">
      <c r="A239" s="11" t="s">
        <v>149</v>
      </c>
      <c r="B239">
        <v>2024</v>
      </c>
      <c r="C239" t="s">
        <v>626</v>
      </c>
      <c r="D239" t="s">
        <v>11</v>
      </c>
      <c r="E239" t="s">
        <v>184</v>
      </c>
      <c r="F239" s="2" t="s">
        <v>193</v>
      </c>
      <c r="G239">
        <v>110</v>
      </c>
      <c r="H239">
        <v>148</v>
      </c>
      <c r="I239" s="10">
        <v>0.7432432432432432</v>
      </c>
    </row>
    <row r="240" spans="1:9" ht="30" x14ac:dyDescent="0.25">
      <c r="A240" s="11" t="s">
        <v>149</v>
      </c>
      <c r="B240">
        <v>2024</v>
      </c>
      <c r="C240" t="s">
        <v>627</v>
      </c>
      <c r="D240" t="s">
        <v>11</v>
      </c>
      <c r="E240" t="s">
        <v>184</v>
      </c>
      <c r="F240" s="2" t="s">
        <v>193</v>
      </c>
      <c r="G240">
        <v>141</v>
      </c>
      <c r="H240">
        <v>147</v>
      </c>
      <c r="I240" s="10">
        <v>0.95918367346938771</v>
      </c>
    </row>
    <row r="241" spans="1:9" ht="30" x14ac:dyDescent="0.25">
      <c r="A241" s="11" t="s">
        <v>149</v>
      </c>
      <c r="B241">
        <v>2024</v>
      </c>
      <c r="C241" t="s">
        <v>628</v>
      </c>
      <c r="D241" t="s">
        <v>11</v>
      </c>
      <c r="E241" t="s">
        <v>184</v>
      </c>
      <c r="F241" s="2" t="s">
        <v>193</v>
      </c>
      <c r="G241">
        <v>197</v>
      </c>
      <c r="H241">
        <v>221</v>
      </c>
      <c r="I241" s="10">
        <v>0.89140271493212675</v>
      </c>
    </row>
    <row r="242" spans="1:9" ht="30" x14ac:dyDescent="0.25">
      <c r="A242" s="11" t="s">
        <v>149</v>
      </c>
      <c r="B242">
        <v>2024</v>
      </c>
      <c r="C242" t="s">
        <v>629</v>
      </c>
      <c r="D242" t="s">
        <v>11</v>
      </c>
      <c r="E242" t="s">
        <v>184</v>
      </c>
      <c r="F242" s="2" t="s">
        <v>193</v>
      </c>
      <c r="G242">
        <v>184</v>
      </c>
      <c r="H242">
        <v>197</v>
      </c>
      <c r="I242" s="10">
        <v>0.93401015228426398</v>
      </c>
    </row>
    <row r="243" spans="1:9" ht="30" x14ac:dyDescent="0.25">
      <c r="A243" s="11" t="s">
        <v>149</v>
      </c>
      <c r="B243">
        <v>2024</v>
      </c>
      <c r="C243" t="s">
        <v>626</v>
      </c>
      <c r="D243" t="s">
        <v>11</v>
      </c>
      <c r="E243" t="s">
        <v>261</v>
      </c>
      <c r="F243" s="2" t="s">
        <v>262</v>
      </c>
      <c r="G243">
        <v>34</v>
      </c>
      <c r="H243">
        <v>51</v>
      </c>
      <c r="I243" s="10">
        <v>0.66666666666666663</v>
      </c>
    </row>
    <row r="244" spans="1:9" ht="30" x14ac:dyDescent="0.25">
      <c r="A244" s="11" t="s">
        <v>149</v>
      </c>
      <c r="B244">
        <v>2024</v>
      </c>
      <c r="C244" t="s">
        <v>627</v>
      </c>
      <c r="D244" t="s">
        <v>11</v>
      </c>
      <c r="E244" t="s">
        <v>261</v>
      </c>
      <c r="F244" s="2" t="s">
        <v>262</v>
      </c>
      <c r="G244">
        <v>38</v>
      </c>
      <c r="H244">
        <v>39</v>
      </c>
      <c r="I244" s="10">
        <v>0.97435897435897434</v>
      </c>
    </row>
    <row r="245" spans="1:9" ht="30" x14ac:dyDescent="0.25">
      <c r="A245" s="11" t="s">
        <v>149</v>
      </c>
      <c r="B245">
        <v>2024</v>
      </c>
      <c r="C245" t="s">
        <v>628</v>
      </c>
      <c r="D245" t="s">
        <v>11</v>
      </c>
      <c r="E245" t="s">
        <v>261</v>
      </c>
      <c r="F245" s="2" t="s">
        <v>262</v>
      </c>
      <c r="G245">
        <v>37</v>
      </c>
      <c r="H245">
        <v>37</v>
      </c>
      <c r="I245" s="10">
        <v>1</v>
      </c>
    </row>
    <row r="246" spans="1:9" ht="30" x14ac:dyDescent="0.25">
      <c r="A246" s="11" t="s">
        <v>149</v>
      </c>
      <c r="B246">
        <v>2024</v>
      </c>
      <c r="C246" t="s">
        <v>629</v>
      </c>
      <c r="D246" t="s">
        <v>11</v>
      </c>
      <c r="E246" t="s">
        <v>261</v>
      </c>
      <c r="F246" s="2" t="s">
        <v>262</v>
      </c>
      <c r="G246">
        <v>51</v>
      </c>
      <c r="H246">
        <v>54</v>
      </c>
      <c r="I246" s="10">
        <v>0.94444444444444442</v>
      </c>
    </row>
    <row r="247" spans="1:9" ht="30" x14ac:dyDescent="0.25">
      <c r="A247" s="11" t="s">
        <v>149</v>
      </c>
      <c r="B247">
        <v>2024</v>
      </c>
      <c r="C247" t="s">
        <v>626</v>
      </c>
      <c r="D247" t="s">
        <v>11</v>
      </c>
      <c r="E247" t="s">
        <v>273</v>
      </c>
      <c r="F247" s="2" t="s">
        <v>274</v>
      </c>
      <c r="G247">
        <v>35</v>
      </c>
      <c r="H247">
        <v>46</v>
      </c>
      <c r="I247" s="10">
        <v>0.76086956521739135</v>
      </c>
    </row>
    <row r="248" spans="1:9" ht="30" x14ac:dyDescent="0.25">
      <c r="A248" s="11" t="s">
        <v>149</v>
      </c>
      <c r="B248">
        <v>2024</v>
      </c>
      <c r="C248" t="s">
        <v>627</v>
      </c>
      <c r="D248" t="s">
        <v>11</v>
      </c>
      <c r="E248" t="s">
        <v>273</v>
      </c>
      <c r="F248" s="2" t="s">
        <v>274</v>
      </c>
      <c r="G248">
        <v>42</v>
      </c>
      <c r="H248">
        <v>45</v>
      </c>
      <c r="I248" s="10">
        <v>0.93333333333333335</v>
      </c>
    </row>
    <row r="249" spans="1:9" ht="30" x14ac:dyDescent="0.25">
      <c r="A249" s="11" t="s">
        <v>149</v>
      </c>
      <c r="B249">
        <v>2024</v>
      </c>
      <c r="C249" t="s">
        <v>628</v>
      </c>
      <c r="D249" t="s">
        <v>11</v>
      </c>
      <c r="E249" t="s">
        <v>273</v>
      </c>
      <c r="F249" s="2" t="s">
        <v>274</v>
      </c>
      <c r="G249">
        <v>47</v>
      </c>
      <c r="H249">
        <v>50</v>
      </c>
      <c r="I249" s="10">
        <v>0.94</v>
      </c>
    </row>
    <row r="250" spans="1:9" ht="30" x14ac:dyDescent="0.25">
      <c r="A250" s="11" t="s">
        <v>149</v>
      </c>
      <c r="B250">
        <v>2024</v>
      </c>
      <c r="C250" t="s">
        <v>629</v>
      </c>
      <c r="D250" t="s">
        <v>11</v>
      </c>
      <c r="E250" t="s">
        <v>273</v>
      </c>
      <c r="F250" s="2" t="s">
        <v>274</v>
      </c>
      <c r="G250">
        <v>54</v>
      </c>
      <c r="H250">
        <v>56</v>
      </c>
      <c r="I250" s="10">
        <v>0.9642857142857143</v>
      </c>
    </row>
    <row r="251" spans="1:9" ht="30" x14ac:dyDescent="0.25">
      <c r="A251" s="11" t="s">
        <v>149</v>
      </c>
      <c r="B251">
        <v>2024</v>
      </c>
      <c r="C251" t="s">
        <v>626</v>
      </c>
      <c r="D251" t="s">
        <v>14</v>
      </c>
      <c r="E251" t="s">
        <v>315</v>
      </c>
      <c r="F251" s="2" t="s">
        <v>333</v>
      </c>
      <c r="G251">
        <v>28</v>
      </c>
      <c r="H251">
        <v>33</v>
      </c>
      <c r="I251" s="10">
        <v>0.84848484848484851</v>
      </c>
    </row>
    <row r="252" spans="1:9" ht="30" x14ac:dyDescent="0.25">
      <c r="A252" s="11" t="s">
        <v>149</v>
      </c>
      <c r="B252">
        <v>2024</v>
      </c>
      <c r="C252" t="s">
        <v>627</v>
      </c>
      <c r="D252" t="s">
        <v>14</v>
      </c>
      <c r="E252" t="s">
        <v>315</v>
      </c>
      <c r="F252" s="2" t="s">
        <v>333</v>
      </c>
      <c r="G252">
        <v>28</v>
      </c>
      <c r="H252">
        <v>32</v>
      </c>
      <c r="I252" s="10">
        <v>0.875</v>
      </c>
    </row>
    <row r="253" spans="1:9" ht="30" x14ac:dyDescent="0.25">
      <c r="A253" s="11" t="s">
        <v>149</v>
      </c>
      <c r="B253">
        <v>2024</v>
      </c>
      <c r="C253" t="s">
        <v>628</v>
      </c>
      <c r="D253" t="s">
        <v>14</v>
      </c>
      <c r="E253" t="s">
        <v>315</v>
      </c>
      <c r="F253" s="2" t="s">
        <v>333</v>
      </c>
      <c r="G253">
        <v>29</v>
      </c>
      <c r="H253">
        <v>32</v>
      </c>
      <c r="I253" s="10">
        <v>0.90625</v>
      </c>
    </row>
    <row r="254" spans="1:9" ht="30" x14ac:dyDescent="0.25">
      <c r="A254" s="11" t="s">
        <v>149</v>
      </c>
      <c r="B254">
        <v>2024</v>
      </c>
      <c r="C254" t="s">
        <v>629</v>
      </c>
      <c r="D254" t="s">
        <v>14</v>
      </c>
      <c r="E254" t="s">
        <v>315</v>
      </c>
      <c r="F254" s="2" t="s">
        <v>333</v>
      </c>
      <c r="G254">
        <v>17</v>
      </c>
      <c r="H254">
        <v>32</v>
      </c>
      <c r="I254" s="10">
        <v>0.53125</v>
      </c>
    </row>
    <row r="255" spans="1:9" ht="30" x14ac:dyDescent="0.25">
      <c r="A255" s="11" t="s">
        <v>149</v>
      </c>
      <c r="B255">
        <v>2024</v>
      </c>
      <c r="C255" t="s">
        <v>626</v>
      </c>
      <c r="D255" t="s">
        <v>14</v>
      </c>
      <c r="E255" t="s">
        <v>353</v>
      </c>
      <c r="F255" s="2" t="s">
        <v>376</v>
      </c>
      <c r="G255">
        <v>18</v>
      </c>
      <c r="H255">
        <v>32</v>
      </c>
      <c r="I255" s="10">
        <v>0.5625</v>
      </c>
    </row>
    <row r="256" spans="1:9" ht="30" x14ac:dyDescent="0.25">
      <c r="A256" s="11" t="s">
        <v>149</v>
      </c>
      <c r="B256">
        <v>2024</v>
      </c>
      <c r="C256" t="s">
        <v>627</v>
      </c>
      <c r="D256" t="s">
        <v>14</v>
      </c>
      <c r="E256" t="s">
        <v>353</v>
      </c>
      <c r="F256" s="2" t="s">
        <v>376</v>
      </c>
      <c r="G256">
        <v>17</v>
      </c>
      <c r="H256">
        <v>32</v>
      </c>
      <c r="I256" s="10">
        <v>0.53125</v>
      </c>
    </row>
    <row r="257" spans="1:9" ht="30" x14ac:dyDescent="0.25">
      <c r="A257" s="11" t="s">
        <v>149</v>
      </c>
      <c r="B257">
        <v>2024</v>
      </c>
      <c r="C257" t="s">
        <v>628</v>
      </c>
      <c r="D257" t="s">
        <v>14</v>
      </c>
      <c r="E257" t="s">
        <v>353</v>
      </c>
      <c r="F257" s="2" t="s">
        <v>376</v>
      </c>
      <c r="G257">
        <v>18</v>
      </c>
      <c r="H257">
        <v>32</v>
      </c>
      <c r="I257" s="10">
        <v>0.5625</v>
      </c>
    </row>
    <row r="258" spans="1:9" ht="30" x14ac:dyDescent="0.25">
      <c r="A258" s="11" t="s">
        <v>149</v>
      </c>
      <c r="B258">
        <v>2024</v>
      </c>
      <c r="C258" t="s">
        <v>629</v>
      </c>
      <c r="D258" t="s">
        <v>14</v>
      </c>
      <c r="E258" t="s">
        <v>353</v>
      </c>
      <c r="F258" s="2" t="s">
        <v>376</v>
      </c>
      <c r="G258">
        <v>17</v>
      </c>
      <c r="H258">
        <v>32</v>
      </c>
      <c r="I258" s="10">
        <v>0.53125</v>
      </c>
    </row>
    <row r="259" spans="1:9" ht="30" x14ac:dyDescent="0.25">
      <c r="A259" s="11" t="s">
        <v>149</v>
      </c>
      <c r="B259">
        <v>2024</v>
      </c>
      <c r="C259" t="s">
        <v>626</v>
      </c>
      <c r="D259" t="s">
        <v>15</v>
      </c>
      <c r="E259" t="s">
        <v>34</v>
      </c>
      <c r="F259" s="2" t="s">
        <v>595</v>
      </c>
      <c r="G259">
        <v>70</v>
      </c>
      <c r="H259">
        <v>70</v>
      </c>
      <c r="I259" s="10">
        <v>1</v>
      </c>
    </row>
    <row r="260" spans="1:9" ht="30" x14ac:dyDescent="0.25">
      <c r="A260" s="11" t="s">
        <v>149</v>
      </c>
      <c r="B260">
        <v>2024</v>
      </c>
      <c r="C260" t="s">
        <v>627</v>
      </c>
      <c r="D260" t="s">
        <v>15</v>
      </c>
      <c r="E260" t="s">
        <v>34</v>
      </c>
      <c r="F260" s="2" t="s">
        <v>595</v>
      </c>
      <c r="G260">
        <v>71</v>
      </c>
      <c r="H260">
        <v>71</v>
      </c>
      <c r="I260" s="10">
        <v>1</v>
      </c>
    </row>
    <row r="261" spans="1:9" ht="30" x14ac:dyDescent="0.25">
      <c r="A261" s="11" t="s">
        <v>149</v>
      </c>
      <c r="B261">
        <v>2024</v>
      </c>
      <c r="C261" t="s">
        <v>628</v>
      </c>
      <c r="D261" t="s">
        <v>15</v>
      </c>
      <c r="E261" t="s">
        <v>34</v>
      </c>
      <c r="F261" s="2" t="s">
        <v>595</v>
      </c>
      <c r="G261">
        <v>71</v>
      </c>
      <c r="H261">
        <v>71</v>
      </c>
      <c r="I261" s="10">
        <v>1</v>
      </c>
    </row>
    <row r="262" spans="1:9" ht="30" x14ac:dyDescent="0.25">
      <c r="A262" s="11" t="s">
        <v>149</v>
      </c>
      <c r="B262">
        <v>2024</v>
      </c>
      <c r="C262" t="s">
        <v>629</v>
      </c>
      <c r="D262" t="s">
        <v>15</v>
      </c>
      <c r="E262" t="s">
        <v>34</v>
      </c>
      <c r="F262" s="2" t="s">
        <v>595</v>
      </c>
      <c r="G262">
        <v>69</v>
      </c>
      <c r="H262">
        <v>69</v>
      </c>
      <c r="I262" s="10">
        <v>1</v>
      </c>
    </row>
    <row r="263" spans="1:9" ht="30" x14ac:dyDescent="0.25">
      <c r="A263" s="11" t="s">
        <v>149</v>
      </c>
      <c r="B263">
        <v>2024</v>
      </c>
      <c r="C263" t="s">
        <v>139</v>
      </c>
      <c r="D263" t="s">
        <v>11</v>
      </c>
      <c r="E263" t="s">
        <v>21</v>
      </c>
      <c r="F263" s="2" t="s">
        <v>247</v>
      </c>
      <c r="G263">
        <v>18</v>
      </c>
      <c r="H263">
        <v>18</v>
      </c>
      <c r="I263" s="10">
        <v>1</v>
      </c>
    </row>
    <row r="264" spans="1:9" ht="30" x14ac:dyDescent="0.25">
      <c r="A264" s="11" t="s">
        <v>149</v>
      </c>
      <c r="B264">
        <v>2024</v>
      </c>
      <c r="C264" t="s">
        <v>140</v>
      </c>
      <c r="D264" t="s">
        <v>11</v>
      </c>
      <c r="E264" t="s">
        <v>21</v>
      </c>
      <c r="F264" s="2" t="s">
        <v>247</v>
      </c>
      <c r="G264">
        <v>17</v>
      </c>
      <c r="H264">
        <v>17</v>
      </c>
      <c r="I264" s="10">
        <v>1</v>
      </c>
    </row>
    <row r="265" spans="1:9" ht="30" x14ac:dyDescent="0.25">
      <c r="A265" s="11" t="s">
        <v>149</v>
      </c>
      <c r="B265">
        <v>2024</v>
      </c>
      <c r="C265" t="s">
        <v>626</v>
      </c>
      <c r="D265" t="s">
        <v>11</v>
      </c>
      <c r="E265" t="s">
        <v>21</v>
      </c>
      <c r="F265" s="2" t="s">
        <v>247</v>
      </c>
      <c r="G265">
        <v>43</v>
      </c>
      <c r="H265">
        <v>45</v>
      </c>
      <c r="I265" s="10">
        <v>0.9555555555555556</v>
      </c>
    </row>
    <row r="266" spans="1:9" ht="30" x14ac:dyDescent="0.25">
      <c r="A266" s="11" t="s">
        <v>149</v>
      </c>
      <c r="B266">
        <v>2024</v>
      </c>
      <c r="C266" t="s">
        <v>630</v>
      </c>
      <c r="D266" t="s">
        <v>11</v>
      </c>
      <c r="E266" t="s">
        <v>21</v>
      </c>
      <c r="F266" s="2" t="s">
        <v>247</v>
      </c>
      <c r="G266">
        <v>70</v>
      </c>
      <c r="H266">
        <v>89</v>
      </c>
      <c r="I266" s="10">
        <v>0.7865168539325843</v>
      </c>
    </row>
    <row r="267" spans="1:9" ht="30" x14ac:dyDescent="0.25">
      <c r="A267" s="11" t="s">
        <v>149</v>
      </c>
      <c r="B267">
        <v>2024</v>
      </c>
      <c r="C267" t="s">
        <v>142</v>
      </c>
      <c r="D267" t="s">
        <v>11</v>
      </c>
      <c r="E267" t="s">
        <v>21</v>
      </c>
      <c r="F267" s="2" t="s">
        <v>247</v>
      </c>
      <c r="G267">
        <v>89</v>
      </c>
      <c r="H267">
        <v>92</v>
      </c>
      <c r="I267" s="10">
        <v>0.96739130434782605</v>
      </c>
    </row>
    <row r="268" spans="1:9" ht="30" x14ac:dyDescent="0.25">
      <c r="A268" s="11" t="s">
        <v>149</v>
      </c>
      <c r="B268">
        <v>2024</v>
      </c>
      <c r="C268" t="s">
        <v>627</v>
      </c>
      <c r="D268" t="s">
        <v>11</v>
      </c>
      <c r="E268" t="s">
        <v>21</v>
      </c>
      <c r="F268" s="2" t="s">
        <v>247</v>
      </c>
      <c r="G268">
        <v>46</v>
      </c>
      <c r="H268">
        <v>46</v>
      </c>
      <c r="I268" s="10">
        <v>1</v>
      </c>
    </row>
    <row r="269" spans="1:9" ht="30" x14ac:dyDescent="0.25">
      <c r="A269" s="11" t="s">
        <v>149</v>
      </c>
      <c r="B269">
        <v>2024</v>
      </c>
      <c r="C269" t="s">
        <v>631</v>
      </c>
      <c r="D269" t="s">
        <v>11</v>
      </c>
      <c r="E269" t="s">
        <v>21</v>
      </c>
      <c r="F269" s="2" t="s">
        <v>247</v>
      </c>
      <c r="G269">
        <v>86</v>
      </c>
      <c r="H269">
        <v>88</v>
      </c>
      <c r="I269" s="10">
        <v>0.97727272727272729</v>
      </c>
    </row>
    <row r="270" spans="1:9" ht="30" x14ac:dyDescent="0.25">
      <c r="A270" s="11" t="s">
        <v>149</v>
      </c>
      <c r="B270">
        <v>2024</v>
      </c>
      <c r="C270" t="s">
        <v>632</v>
      </c>
      <c r="D270" t="s">
        <v>11</v>
      </c>
      <c r="E270" t="s">
        <v>21</v>
      </c>
      <c r="F270" s="2" t="s">
        <v>247</v>
      </c>
      <c r="G270">
        <v>91</v>
      </c>
      <c r="H270">
        <v>94</v>
      </c>
      <c r="I270" s="10">
        <v>0.96808510638297873</v>
      </c>
    </row>
    <row r="271" spans="1:9" ht="30" x14ac:dyDescent="0.25">
      <c r="A271" s="11" t="s">
        <v>149</v>
      </c>
      <c r="B271">
        <v>2024</v>
      </c>
      <c r="C271" t="s">
        <v>628</v>
      </c>
      <c r="D271" t="s">
        <v>11</v>
      </c>
      <c r="E271" t="s">
        <v>21</v>
      </c>
      <c r="F271" s="2" t="s">
        <v>247</v>
      </c>
      <c r="G271">
        <v>85</v>
      </c>
      <c r="H271">
        <v>95</v>
      </c>
      <c r="I271" s="10">
        <v>0.89473684210526316</v>
      </c>
    </row>
    <row r="272" spans="1:9" ht="30" x14ac:dyDescent="0.25">
      <c r="A272" s="11" t="s">
        <v>149</v>
      </c>
      <c r="B272">
        <v>2024</v>
      </c>
      <c r="C272" t="s">
        <v>633</v>
      </c>
      <c r="D272" t="s">
        <v>11</v>
      </c>
      <c r="E272" t="s">
        <v>21</v>
      </c>
      <c r="F272" s="2" t="s">
        <v>247</v>
      </c>
      <c r="G272">
        <v>81</v>
      </c>
      <c r="H272">
        <v>84</v>
      </c>
      <c r="I272" s="10">
        <v>0.9642857142857143</v>
      </c>
    </row>
    <row r="273" spans="1:9" ht="30" x14ac:dyDescent="0.25">
      <c r="A273" s="11" t="s">
        <v>149</v>
      </c>
      <c r="B273">
        <v>2024</v>
      </c>
      <c r="C273" t="s">
        <v>634</v>
      </c>
      <c r="D273" t="s">
        <v>11</v>
      </c>
      <c r="E273" t="s">
        <v>21</v>
      </c>
      <c r="F273" s="2" t="s">
        <v>247</v>
      </c>
      <c r="G273">
        <v>76</v>
      </c>
      <c r="H273">
        <v>78</v>
      </c>
      <c r="I273" s="10">
        <v>0.97435897435897434</v>
      </c>
    </row>
    <row r="274" spans="1:9" ht="30" x14ac:dyDescent="0.25">
      <c r="A274" s="11" t="s">
        <v>149</v>
      </c>
      <c r="B274">
        <v>2024</v>
      </c>
      <c r="C274" t="s">
        <v>629</v>
      </c>
      <c r="D274" t="s">
        <v>11</v>
      </c>
      <c r="E274" t="s">
        <v>21</v>
      </c>
      <c r="F274" s="2" t="s">
        <v>247</v>
      </c>
      <c r="G274">
        <v>72</v>
      </c>
      <c r="H274">
        <v>74</v>
      </c>
      <c r="I274" s="10">
        <v>0.97297297297297303</v>
      </c>
    </row>
    <row r="275" spans="1:9" ht="30" x14ac:dyDescent="0.25">
      <c r="A275" s="11" t="s">
        <v>147</v>
      </c>
      <c r="B275">
        <v>2024</v>
      </c>
      <c r="C275" t="s">
        <v>626</v>
      </c>
      <c r="D275" t="s">
        <v>11</v>
      </c>
      <c r="E275" t="s">
        <v>209</v>
      </c>
      <c r="F275" s="2" t="s">
        <v>219</v>
      </c>
      <c r="G275">
        <v>2</v>
      </c>
      <c r="H275">
        <v>3</v>
      </c>
      <c r="I275" s="10">
        <v>0.66666666666666663</v>
      </c>
    </row>
    <row r="276" spans="1:9" ht="30" x14ac:dyDescent="0.25">
      <c r="A276" s="11" t="s">
        <v>147</v>
      </c>
      <c r="B276">
        <v>2024</v>
      </c>
      <c r="C276" t="s">
        <v>627</v>
      </c>
      <c r="D276" t="s">
        <v>11</v>
      </c>
      <c r="E276" t="s">
        <v>209</v>
      </c>
      <c r="F276" s="2" t="s">
        <v>219</v>
      </c>
      <c r="G276">
        <v>3</v>
      </c>
      <c r="H276">
        <v>3</v>
      </c>
      <c r="I276" s="10">
        <v>1</v>
      </c>
    </row>
    <row r="277" spans="1:9" ht="30" x14ac:dyDescent="0.25">
      <c r="A277" s="11" t="s">
        <v>147</v>
      </c>
      <c r="B277">
        <v>2024</v>
      </c>
      <c r="C277" t="s">
        <v>628</v>
      </c>
      <c r="D277" t="s">
        <v>11</v>
      </c>
      <c r="E277" t="s">
        <v>209</v>
      </c>
      <c r="F277" s="2" t="s">
        <v>219</v>
      </c>
      <c r="G277">
        <v>17</v>
      </c>
      <c r="H277">
        <v>17</v>
      </c>
      <c r="I277" s="10">
        <v>1</v>
      </c>
    </row>
    <row r="278" spans="1:9" ht="30" x14ac:dyDescent="0.25">
      <c r="A278" s="11" t="s">
        <v>147</v>
      </c>
      <c r="B278">
        <v>2024</v>
      </c>
      <c r="C278" t="s">
        <v>629</v>
      </c>
      <c r="D278" t="s">
        <v>11</v>
      </c>
      <c r="E278" t="s">
        <v>209</v>
      </c>
      <c r="F278" s="2" t="s">
        <v>219</v>
      </c>
      <c r="G278">
        <v>45</v>
      </c>
      <c r="H278">
        <v>45</v>
      </c>
      <c r="I278" s="10">
        <v>1</v>
      </c>
    </row>
    <row r="279" spans="1:9" ht="30" x14ac:dyDescent="0.25">
      <c r="A279" s="11" t="s">
        <v>147</v>
      </c>
      <c r="B279">
        <v>2024</v>
      </c>
      <c r="C279" t="s">
        <v>626</v>
      </c>
      <c r="D279" t="s">
        <v>11</v>
      </c>
      <c r="E279" t="s">
        <v>261</v>
      </c>
      <c r="F279" s="2" t="s">
        <v>262</v>
      </c>
      <c r="G279">
        <v>39</v>
      </c>
      <c r="H279">
        <v>39</v>
      </c>
      <c r="I279" s="10">
        <v>1</v>
      </c>
    </row>
    <row r="280" spans="1:9" ht="30" x14ac:dyDescent="0.25">
      <c r="A280" s="11" t="s">
        <v>147</v>
      </c>
      <c r="B280">
        <v>2024</v>
      </c>
      <c r="C280" t="s">
        <v>627</v>
      </c>
      <c r="D280" t="s">
        <v>11</v>
      </c>
      <c r="E280" t="s">
        <v>261</v>
      </c>
      <c r="F280" s="2" t="s">
        <v>262</v>
      </c>
      <c r="G280">
        <v>39</v>
      </c>
      <c r="H280">
        <v>39</v>
      </c>
      <c r="I280" s="10">
        <v>1</v>
      </c>
    </row>
    <row r="281" spans="1:9" ht="30" x14ac:dyDescent="0.25">
      <c r="A281" s="11" t="s">
        <v>147</v>
      </c>
      <c r="B281">
        <v>2024</v>
      </c>
      <c r="C281" t="s">
        <v>628</v>
      </c>
      <c r="D281" t="s">
        <v>11</v>
      </c>
      <c r="E281" t="s">
        <v>261</v>
      </c>
      <c r="F281" s="2" t="s">
        <v>262</v>
      </c>
      <c r="G281">
        <v>39</v>
      </c>
      <c r="H281">
        <v>39</v>
      </c>
      <c r="I281" s="10">
        <v>1</v>
      </c>
    </row>
    <row r="282" spans="1:9" ht="30" x14ac:dyDescent="0.25">
      <c r="A282" s="11" t="s">
        <v>147</v>
      </c>
      <c r="B282">
        <v>2024</v>
      </c>
      <c r="C282" t="s">
        <v>629</v>
      </c>
      <c r="D282" t="s">
        <v>11</v>
      </c>
      <c r="E282" t="s">
        <v>261</v>
      </c>
      <c r="F282" s="2" t="s">
        <v>262</v>
      </c>
      <c r="G282">
        <v>36</v>
      </c>
      <c r="H282">
        <v>36</v>
      </c>
      <c r="I282" s="10">
        <v>1</v>
      </c>
    </row>
    <row r="283" spans="1:9" ht="30" x14ac:dyDescent="0.25">
      <c r="A283" s="11" t="s">
        <v>147</v>
      </c>
      <c r="B283">
        <v>2024</v>
      </c>
      <c r="C283" t="s">
        <v>626</v>
      </c>
      <c r="D283" t="s">
        <v>11</v>
      </c>
      <c r="E283" t="s">
        <v>273</v>
      </c>
      <c r="F283" s="2" t="s">
        <v>274</v>
      </c>
      <c r="G283">
        <v>39</v>
      </c>
      <c r="H283">
        <v>39</v>
      </c>
      <c r="I283" s="10">
        <v>1</v>
      </c>
    </row>
    <row r="284" spans="1:9" ht="30" x14ac:dyDescent="0.25">
      <c r="A284" s="11" t="s">
        <v>147</v>
      </c>
      <c r="B284">
        <v>2024</v>
      </c>
      <c r="C284" t="s">
        <v>627</v>
      </c>
      <c r="D284" t="s">
        <v>11</v>
      </c>
      <c r="E284" t="s">
        <v>273</v>
      </c>
      <c r="F284" s="2" t="s">
        <v>274</v>
      </c>
      <c r="G284">
        <v>39</v>
      </c>
      <c r="H284">
        <v>39</v>
      </c>
      <c r="I284" s="10">
        <v>1</v>
      </c>
    </row>
    <row r="285" spans="1:9" ht="30" x14ac:dyDescent="0.25">
      <c r="A285" s="11" t="s">
        <v>147</v>
      </c>
      <c r="B285">
        <v>2024</v>
      </c>
      <c r="C285" t="s">
        <v>628</v>
      </c>
      <c r="D285" t="s">
        <v>11</v>
      </c>
      <c r="E285" t="s">
        <v>273</v>
      </c>
      <c r="F285" s="2" t="s">
        <v>274</v>
      </c>
      <c r="G285">
        <v>38</v>
      </c>
      <c r="H285">
        <v>39</v>
      </c>
      <c r="I285" s="10">
        <v>0.97435897435897434</v>
      </c>
    </row>
    <row r="286" spans="1:9" ht="30" x14ac:dyDescent="0.25">
      <c r="A286" s="11" t="s">
        <v>147</v>
      </c>
      <c r="B286">
        <v>2024</v>
      </c>
      <c r="C286" t="s">
        <v>629</v>
      </c>
      <c r="D286" t="s">
        <v>11</v>
      </c>
      <c r="E286" t="s">
        <v>273</v>
      </c>
      <c r="F286" s="2" t="s">
        <v>274</v>
      </c>
      <c r="G286">
        <v>34</v>
      </c>
      <c r="H286">
        <v>36</v>
      </c>
      <c r="I286" s="10">
        <v>0.94444444444444442</v>
      </c>
    </row>
    <row r="287" spans="1:9" ht="30" x14ac:dyDescent="0.25">
      <c r="A287" s="11" t="s">
        <v>147</v>
      </c>
      <c r="B287">
        <v>2024</v>
      </c>
      <c r="C287" t="s">
        <v>626</v>
      </c>
      <c r="D287" t="s">
        <v>14</v>
      </c>
      <c r="E287" t="s">
        <v>315</v>
      </c>
      <c r="F287" s="2" t="s">
        <v>336</v>
      </c>
      <c r="G287">
        <v>21</v>
      </c>
      <c r="H287">
        <v>23</v>
      </c>
      <c r="I287" s="10">
        <v>0.91304347826086951</v>
      </c>
    </row>
    <row r="288" spans="1:9" ht="30" x14ac:dyDescent="0.25">
      <c r="A288" s="11" t="s">
        <v>147</v>
      </c>
      <c r="B288">
        <v>2024</v>
      </c>
      <c r="C288" t="s">
        <v>627</v>
      </c>
      <c r="D288" t="s">
        <v>14</v>
      </c>
      <c r="E288" t="s">
        <v>315</v>
      </c>
      <c r="F288" s="2" t="s">
        <v>336</v>
      </c>
      <c r="G288">
        <v>28</v>
      </c>
      <c r="H288">
        <v>30</v>
      </c>
      <c r="I288" s="10">
        <v>0.93333333333333335</v>
      </c>
    </row>
    <row r="289" spans="1:9" ht="30" x14ac:dyDescent="0.25">
      <c r="A289" s="11" t="s">
        <v>147</v>
      </c>
      <c r="B289">
        <v>2024</v>
      </c>
      <c r="C289" t="s">
        <v>628</v>
      </c>
      <c r="D289" t="s">
        <v>14</v>
      </c>
      <c r="E289" t="s">
        <v>315</v>
      </c>
      <c r="F289" s="2" t="s">
        <v>336</v>
      </c>
      <c r="G289">
        <v>27</v>
      </c>
      <c r="H289">
        <v>29</v>
      </c>
      <c r="I289" s="10">
        <v>0.93103448275862066</v>
      </c>
    </row>
    <row r="290" spans="1:9" ht="30" x14ac:dyDescent="0.25">
      <c r="A290" s="11" t="s">
        <v>147</v>
      </c>
      <c r="B290">
        <v>2024</v>
      </c>
      <c r="C290" t="s">
        <v>629</v>
      </c>
      <c r="D290" t="s">
        <v>14</v>
      </c>
      <c r="E290" t="s">
        <v>315</v>
      </c>
      <c r="F290" s="2" t="s">
        <v>336</v>
      </c>
      <c r="G290">
        <v>25</v>
      </c>
      <c r="H290">
        <v>26</v>
      </c>
      <c r="I290" s="10">
        <v>0.96153846153846156</v>
      </c>
    </row>
    <row r="291" spans="1:9" x14ac:dyDescent="0.25">
      <c r="A291" s="11" t="s">
        <v>147</v>
      </c>
      <c r="B291">
        <v>2024</v>
      </c>
      <c r="C291" t="s">
        <v>626</v>
      </c>
      <c r="D291" t="s">
        <v>14</v>
      </c>
      <c r="E291" t="s">
        <v>353</v>
      </c>
      <c r="F291" s="2" t="s">
        <v>48</v>
      </c>
      <c r="G291">
        <v>13</v>
      </c>
      <c r="H291">
        <v>23</v>
      </c>
      <c r="I291" s="10">
        <v>0.56521739130434778</v>
      </c>
    </row>
    <row r="292" spans="1:9" x14ac:dyDescent="0.25">
      <c r="A292" s="11" t="s">
        <v>147</v>
      </c>
      <c r="B292">
        <v>2024</v>
      </c>
      <c r="C292" t="s">
        <v>627</v>
      </c>
      <c r="D292" t="s">
        <v>14</v>
      </c>
      <c r="E292" t="s">
        <v>353</v>
      </c>
      <c r="F292" s="2" t="s">
        <v>48</v>
      </c>
      <c r="G292">
        <v>13</v>
      </c>
      <c r="H292">
        <v>30</v>
      </c>
      <c r="I292" s="10">
        <v>0.43333333333333335</v>
      </c>
    </row>
    <row r="293" spans="1:9" x14ac:dyDescent="0.25">
      <c r="A293" s="11" t="s">
        <v>147</v>
      </c>
      <c r="B293">
        <v>2024</v>
      </c>
      <c r="C293" t="s">
        <v>628</v>
      </c>
      <c r="D293" t="s">
        <v>14</v>
      </c>
      <c r="E293" t="s">
        <v>353</v>
      </c>
      <c r="F293" s="2" t="s">
        <v>48</v>
      </c>
      <c r="G293">
        <v>25</v>
      </c>
      <c r="H293">
        <v>29</v>
      </c>
      <c r="I293" s="10">
        <v>0.86206896551724133</v>
      </c>
    </row>
    <row r="294" spans="1:9" x14ac:dyDescent="0.25">
      <c r="A294" s="11" t="s">
        <v>147</v>
      </c>
      <c r="B294">
        <v>2024</v>
      </c>
      <c r="C294" t="s">
        <v>629</v>
      </c>
      <c r="D294" t="s">
        <v>14</v>
      </c>
      <c r="E294" t="s">
        <v>353</v>
      </c>
      <c r="F294" s="2" t="s">
        <v>48</v>
      </c>
      <c r="G294">
        <v>24</v>
      </c>
      <c r="H294">
        <v>26</v>
      </c>
      <c r="I294" s="10">
        <v>0.92307692307692313</v>
      </c>
    </row>
    <row r="295" spans="1:9" ht="30" x14ac:dyDescent="0.25">
      <c r="A295" s="11" t="s">
        <v>127</v>
      </c>
      <c r="B295">
        <v>2024</v>
      </c>
      <c r="C295" t="s">
        <v>626</v>
      </c>
      <c r="D295" t="s">
        <v>11</v>
      </c>
      <c r="E295" t="s">
        <v>165</v>
      </c>
      <c r="F295" s="2" t="s">
        <v>174</v>
      </c>
      <c r="G295">
        <v>29</v>
      </c>
      <c r="H295">
        <v>42</v>
      </c>
      <c r="I295" s="10">
        <v>0.69047619047619047</v>
      </c>
    </row>
    <row r="296" spans="1:9" ht="30" x14ac:dyDescent="0.25">
      <c r="A296" s="11" t="s">
        <v>127</v>
      </c>
      <c r="B296">
        <v>2024</v>
      </c>
      <c r="C296" t="s">
        <v>627</v>
      </c>
      <c r="D296" t="s">
        <v>11</v>
      </c>
      <c r="E296" t="s">
        <v>165</v>
      </c>
      <c r="F296" s="2" t="s">
        <v>174</v>
      </c>
      <c r="G296">
        <v>31</v>
      </c>
      <c r="H296">
        <v>34</v>
      </c>
      <c r="I296" s="10">
        <v>0.91176470588235292</v>
      </c>
    </row>
    <row r="297" spans="1:9" ht="30" x14ac:dyDescent="0.25">
      <c r="A297" s="11" t="s">
        <v>127</v>
      </c>
      <c r="B297">
        <v>2024</v>
      </c>
      <c r="C297" t="s">
        <v>628</v>
      </c>
      <c r="D297" t="s">
        <v>11</v>
      </c>
      <c r="E297" t="s">
        <v>165</v>
      </c>
      <c r="F297" s="2" t="s">
        <v>174</v>
      </c>
      <c r="G297">
        <v>32</v>
      </c>
      <c r="H297">
        <v>34</v>
      </c>
      <c r="I297" s="10">
        <v>0.94117647058823528</v>
      </c>
    </row>
    <row r="298" spans="1:9" ht="30" x14ac:dyDescent="0.25">
      <c r="A298" s="11" t="s">
        <v>127</v>
      </c>
      <c r="B298">
        <v>2024</v>
      </c>
      <c r="C298" t="s">
        <v>629</v>
      </c>
      <c r="D298" t="s">
        <v>11</v>
      </c>
      <c r="E298" t="s">
        <v>165</v>
      </c>
      <c r="F298" s="2" t="s">
        <v>174</v>
      </c>
      <c r="G298">
        <v>33</v>
      </c>
      <c r="H298">
        <v>34</v>
      </c>
      <c r="I298" s="10">
        <v>0.97058823529411764</v>
      </c>
    </row>
    <row r="299" spans="1:9" ht="30" x14ac:dyDescent="0.25">
      <c r="A299" s="11" t="s">
        <v>127</v>
      </c>
      <c r="B299">
        <v>2024</v>
      </c>
      <c r="C299" t="s">
        <v>626</v>
      </c>
      <c r="D299" t="s">
        <v>14</v>
      </c>
      <c r="E299" t="s">
        <v>315</v>
      </c>
      <c r="F299" s="2" t="s">
        <v>332</v>
      </c>
      <c r="G299">
        <v>34</v>
      </c>
      <c r="H299">
        <v>34</v>
      </c>
      <c r="I299" s="10">
        <v>1</v>
      </c>
    </row>
    <row r="300" spans="1:9" ht="30" x14ac:dyDescent="0.25">
      <c r="A300" s="11" t="s">
        <v>127</v>
      </c>
      <c r="B300">
        <v>2024</v>
      </c>
      <c r="C300" t="s">
        <v>627</v>
      </c>
      <c r="D300" t="s">
        <v>14</v>
      </c>
      <c r="E300" t="s">
        <v>315</v>
      </c>
      <c r="F300" s="2" t="s">
        <v>332</v>
      </c>
      <c r="G300">
        <v>34</v>
      </c>
      <c r="H300">
        <v>34</v>
      </c>
      <c r="I300" s="10">
        <v>1</v>
      </c>
    </row>
    <row r="301" spans="1:9" ht="30" x14ac:dyDescent="0.25">
      <c r="A301" s="11" t="s">
        <v>127</v>
      </c>
      <c r="B301">
        <v>2024</v>
      </c>
      <c r="C301" t="s">
        <v>628</v>
      </c>
      <c r="D301" t="s">
        <v>14</v>
      </c>
      <c r="E301" t="s">
        <v>315</v>
      </c>
      <c r="F301" s="2" t="s">
        <v>332</v>
      </c>
      <c r="G301">
        <v>34</v>
      </c>
      <c r="H301">
        <v>34</v>
      </c>
      <c r="I301" s="10">
        <v>1</v>
      </c>
    </row>
    <row r="302" spans="1:9" ht="30" x14ac:dyDescent="0.25">
      <c r="A302" s="11" t="s">
        <v>127</v>
      </c>
      <c r="B302">
        <v>2024</v>
      </c>
      <c r="C302" t="s">
        <v>629</v>
      </c>
      <c r="D302" t="s">
        <v>14</v>
      </c>
      <c r="E302" t="s">
        <v>315</v>
      </c>
      <c r="F302" s="2" t="s">
        <v>332</v>
      </c>
      <c r="G302">
        <v>34</v>
      </c>
      <c r="H302">
        <v>34</v>
      </c>
      <c r="I302" s="10">
        <v>1</v>
      </c>
    </row>
    <row r="303" spans="1:9" ht="30" x14ac:dyDescent="0.25">
      <c r="A303" s="11" t="s">
        <v>151</v>
      </c>
      <c r="B303">
        <v>2024</v>
      </c>
      <c r="C303" t="s">
        <v>626</v>
      </c>
      <c r="D303" t="s">
        <v>11</v>
      </c>
      <c r="E303" t="s">
        <v>184</v>
      </c>
      <c r="F303" s="2" t="s">
        <v>42</v>
      </c>
      <c r="G303">
        <v>134</v>
      </c>
      <c r="H303">
        <v>185</v>
      </c>
      <c r="I303" s="10">
        <v>0.72432432432432436</v>
      </c>
    </row>
    <row r="304" spans="1:9" ht="30" x14ac:dyDescent="0.25">
      <c r="A304" s="11" t="s">
        <v>151</v>
      </c>
      <c r="B304">
        <v>2024</v>
      </c>
      <c r="C304" t="s">
        <v>627</v>
      </c>
      <c r="D304" t="s">
        <v>11</v>
      </c>
      <c r="E304" t="s">
        <v>184</v>
      </c>
      <c r="F304" s="2" t="s">
        <v>42</v>
      </c>
      <c r="G304">
        <v>99</v>
      </c>
      <c r="H304">
        <v>160</v>
      </c>
      <c r="I304" s="10">
        <v>0.61875000000000002</v>
      </c>
    </row>
    <row r="305" spans="1:9" ht="30" x14ac:dyDescent="0.25">
      <c r="A305" s="11" t="s">
        <v>151</v>
      </c>
      <c r="B305">
        <v>2024</v>
      </c>
      <c r="C305" t="s">
        <v>628</v>
      </c>
      <c r="D305" t="s">
        <v>11</v>
      </c>
      <c r="E305" t="s">
        <v>184</v>
      </c>
      <c r="F305" s="2" t="s">
        <v>42</v>
      </c>
      <c r="G305">
        <v>85</v>
      </c>
      <c r="H305">
        <v>154</v>
      </c>
      <c r="I305" s="10">
        <v>0.55194805194805197</v>
      </c>
    </row>
    <row r="306" spans="1:9" ht="30" x14ac:dyDescent="0.25">
      <c r="A306" s="11" t="s">
        <v>151</v>
      </c>
      <c r="B306">
        <v>2024</v>
      </c>
      <c r="C306" t="s">
        <v>629</v>
      </c>
      <c r="D306" t="s">
        <v>11</v>
      </c>
      <c r="E306" t="s">
        <v>184</v>
      </c>
      <c r="F306" s="2" t="s">
        <v>42</v>
      </c>
      <c r="G306">
        <v>63</v>
      </c>
      <c r="H306">
        <v>135</v>
      </c>
      <c r="I306" s="10">
        <v>0.46666666666666667</v>
      </c>
    </row>
    <row r="307" spans="1:9" ht="30" x14ac:dyDescent="0.25">
      <c r="A307" s="11" t="s">
        <v>151</v>
      </c>
      <c r="B307">
        <v>2024</v>
      </c>
      <c r="C307" t="s">
        <v>626</v>
      </c>
      <c r="D307" t="s">
        <v>11</v>
      </c>
      <c r="E307" t="s">
        <v>20</v>
      </c>
      <c r="F307" s="2" t="s">
        <v>236</v>
      </c>
      <c r="G307">
        <v>30</v>
      </c>
      <c r="H307">
        <v>39</v>
      </c>
      <c r="I307" s="10">
        <v>0.76923076923076927</v>
      </c>
    </row>
    <row r="308" spans="1:9" ht="30" x14ac:dyDescent="0.25">
      <c r="A308" s="11" t="s">
        <v>151</v>
      </c>
      <c r="B308">
        <v>2024</v>
      </c>
      <c r="C308" t="s">
        <v>627</v>
      </c>
      <c r="D308" t="s">
        <v>11</v>
      </c>
      <c r="E308" t="s">
        <v>20</v>
      </c>
      <c r="F308" s="2" t="s">
        <v>236</v>
      </c>
      <c r="G308">
        <v>23</v>
      </c>
      <c r="H308">
        <v>32</v>
      </c>
      <c r="I308" s="10">
        <v>0.71875</v>
      </c>
    </row>
    <row r="309" spans="1:9" ht="30" x14ac:dyDescent="0.25">
      <c r="A309" s="11" t="s">
        <v>151</v>
      </c>
      <c r="B309">
        <v>2024</v>
      </c>
      <c r="C309" t="s">
        <v>628</v>
      </c>
      <c r="D309" t="s">
        <v>11</v>
      </c>
      <c r="E309" t="s">
        <v>20</v>
      </c>
      <c r="F309" s="2" t="s">
        <v>236</v>
      </c>
      <c r="G309">
        <v>33</v>
      </c>
      <c r="H309">
        <v>45</v>
      </c>
      <c r="I309" s="10">
        <v>0.73333333333333328</v>
      </c>
    </row>
    <row r="310" spans="1:9" ht="30" x14ac:dyDescent="0.25">
      <c r="A310" s="11" t="s">
        <v>151</v>
      </c>
      <c r="B310">
        <v>2024</v>
      </c>
      <c r="C310" t="s">
        <v>629</v>
      </c>
      <c r="D310" t="s">
        <v>11</v>
      </c>
      <c r="E310" t="s">
        <v>20</v>
      </c>
      <c r="F310" s="2" t="s">
        <v>236</v>
      </c>
      <c r="G310">
        <v>35</v>
      </c>
      <c r="H310">
        <v>45</v>
      </c>
      <c r="I310" s="10">
        <v>0.77777777777777779</v>
      </c>
    </row>
    <row r="311" spans="1:9" ht="14.25" customHeight="1" x14ac:dyDescent="0.25">
      <c r="A311" s="11" t="s">
        <v>151</v>
      </c>
      <c r="B311">
        <v>2024</v>
      </c>
      <c r="C311" t="s">
        <v>626</v>
      </c>
      <c r="D311" t="s">
        <v>11</v>
      </c>
      <c r="E311" t="s">
        <v>261</v>
      </c>
      <c r="F311" s="2" t="s">
        <v>263</v>
      </c>
      <c r="G311">
        <v>245</v>
      </c>
      <c r="H311">
        <v>288</v>
      </c>
      <c r="I311" s="10">
        <v>0.85069444444444442</v>
      </c>
    </row>
    <row r="312" spans="1:9" ht="15.75" customHeight="1" x14ac:dyDescent="0.25">
      <c r="A312" s="11" t="s">
        <v>151</v>
      </c>
      <c r="B312">
        <v>2024</v>
      </c>
      <c r="C312" t="s">
        <v>627</v>
      </c>
      <c r="D312" t="s">
        <v>11</v>
      </c>
      <c r="E312" t="s">
        <v>261</v>
      </c>
      <c r="F312" s="2" t="s">
        <v>263</v>
      </c>
      <c r="G312">
        <v>187</v>
      </c>
      <c r="H312">
        <v>289</v>
      </c>
      <c r="I312" s="10">
        <v>0.6470588235294118</v>
      </c>
    </row>
    <row r="313" spans="1:9" ht="18" customHeight="1" x14ac:dyDescent="0.25">
      <c r="A313" s="11" t="s">
        <v>151</v>
      </c>
      <c r="B313">
        <v>2024</v>
      </c>
      <c r="C313" t="s">
        <v>628</v>
      </c>
      <c r="D313" t="s">
        <v>11</v>
      </c>
      <c r="E313" t="s">
        <v>261</v>
      </c>
      <c r="F313" s="2" t="s">
        <v>263</v>
      </c>
      <c r="G313">
        <v>156</v>
      </c>
      <c r="H313">
        <v>287</v>
      </c>
      <c r="I313" s="10">
        <v>0.54355400696864109</v>
      </c>
    </row>
    <row r="314" spans="1:9" ht="18" customHeight="1" x14ac:dyDescent="0.25">
      <c r="A314" s="11" t="s">
        <v>151</v>
      </c>
      <c r="B314">
        <v>2024</v>
      </c>
      <c r="C314" t="s">
        <v>629</v>
      </c>
      <c r="D314" t="s">
        <v>11</v>
      </c>
      <c r="E314" t="s">
        <v>261</v>
      </c>
      <c r="F314" s="2" t="s">
        <v>263</v>
      </c>
      <c r="G314">
        <v>163</v>
      </c>
      <c r="H314">
        <v>321</v>
      </c>
      <c r="I314" s="10">
        <v>0.50778816199376942</v>
      </c>
    </row>
    <row r="315" spans="1:9" ht="30" x14ac:dyDescent="0.25">
      <c r="A315" s="11" t="s">
        <v>151</v>
      </c>
      <c r="B315">
        <v>2024</v>
      </c>
      <c r="C315" t="s">
        <v>626</v>
      </c>
      <c r="D315" t="s">
        <v>14</v>
      </c>
      <c r="E315" t="s">
        <v>315</v>
      </c>
      <c r="F315" s="2" t="s">
        <v>339</v>
      </c>
      <c r="G315">
        <v>23</v>
      </c>
      <c r="H315">
        <v>25</v>
      </c>
      <c r="I315" s="10">
        <v>0.92</v>
      </c>
    </row>
    <row r="316" spans="1:9" ht="30" x14ac:dyDescent="0.25">
      <c r="A316" s="11" t="s">
        <v>151</v>
      </c>
      <c r="B316">
        <v>2024</v>
      </c>
      <c r="C316" t="s">
        <v>627</v>
      </c>
      <c r="D316" t="s">
        <v>14</v>
      </c>
      <c r="E316" t="s">
        <v>315</v>
      </c>
      <c r="F316" s="2" t="s">
        <v>339</v>
      </c>
      <c r="G316">
        <v>24</v>
      </c>
      <c r="H316">
        <v>25</v>
      </c>
      <c r="I316" s="10">
        <v>0.96</v>
      </c>
    </row>
    <row r="317" spans="1:9" ht="30" x14ac:dyDescent="0.25">
      <c r="A317" s="11" t="s">
        <v>151</v>
      </c>
      <c r="B317">
        <v>2024</v>
      </c>
      <c r="C317" t="s">
        <v>628</v>
      </c>
      <c r="D317" t="s">
        <v>14</v>
      </c>
      <c r="E317" t="s">
        <v>315</v>
      </c>
      <c r="F317" s="2" t="s">
        <v>339</v>
      </c>
      <c r="G317">
        <v>19</v>
      </c>
      <c r="H317">
        <v>25</v>
      </c>
      <c r="I317" s="10">
        <v>0.76</v>
      </c>
    </row>
    <row r="318" spans="1:9" ht="30" x14ac:dyDescent="0.25">
      <c r="A318" s="11" t="s">
        <v>151</v>
      </c>
      <c r="B318">
        <v>2024</v>
      </c>
      <c r="C318" t="s">
        <v>629</v>
      </c>
      <c r="D318" t="s">
        <v>14</v>
      </c>
      <c r="E318" t="s">
        <v>315</v>
      </c>
      <c r="F318" s="2" t="s">
        <v>339</v>
      </c>
      <c r="G318">
        <v>23</v>
      </c>
      <c r="H318">
        <v>26</v>
      </c>
      <c r="I318" s="10">
        <v>0.88461538461538458</v>
      </c>
    </row>
    <row r="319" spans="1:9" ht="30" x14ac:dyDescent="0.25">
      <c r="A319" s="11" t="s">
        <v>151</v>
      </c>
      <c r="B319">
        <v>2024</v>
      </c>
      <c r="C319" t="s">
        <v>626</v>
      </c>
      <c r="D319" t="s">
        <v>15</v>
      </c>
      <c r="E319" t="s">
        <v>559</v>
      </c>
      <c r="F319" s="2" t="s">
        <v>569</v>
      </c>
      <c r="G319">
        <v>33</v>
      </c>
      <c r="H319">
        <v>33</v>
      </c>
      <c r="I319" s="10">
        <v>1</v>
      </c>
    </row>
    <row r="320" spans="1:9" ht="30" x14ac:dyDescent="0.25">
      <c r="A320" s="11" t="s">
        <v>151</v>
      </c>
      <c r="B320">
        <v>2024</v>
      </c>
      <c r="C320" t="s">
        <v>627</v>
      </c>
      <c r="D320" t="s">
        <v>15</v>
      </c>
      <c r="E320" t="s">
        <v>559</v>
      </c>
      <c r="F320" s="2" t="s">
        <v>569</v>
      </c>
      <c r="G320">
        <v>33</v>
      </c>
      <c r="H320">
        <v>33</v>
      </c>
      <c r="I320" s="10">
        <v>1</v>
      </c>
    </row>
    <row r="321" spans="1:9" ht="30" x14ac:dyDescent="0.25">
      <c r="A321" s="11" t="s">
        <v>151</v>
      </c>
      <c r="B321">
        <v>2024</v>
      </c>
      <c r="C321" t="s">
        <v>628</v>
      </c>
      <c r="D321" t="s">
        <v>15</v>
      </c>
      <c r="E321" t="s">
        <v>559</v>
      </c>
      <c r="F321" s="2" t="s">
        <v>569</v>
      </c>
      <c r="G321">
        <v>33</v>
      </c>
      <c r="H321">
        <v>33</v>
      </c>
      <c r="I321" s="10">
        <v>1</v>
      </c>
    </row>
    <row r="322" spans="1:9" ht="30" x14ac:dyDescent="0.25">
      <c r="A322" s="11" t="s">
        <v>151</v>
      </c>
      <c r="B322">
        <v>2024</v>
      </c>
      <c r="C322" t="s">
        <v>629</v>
      </c>
      <c r="D322" t="s">
        <v>15</v>
      </c>
      <c r="E322" t="s">
        <v>559</v>
      </c>
      <c r="F322" s="2" t="s">
        <v>569</v>
      </c>
      <c r="G322">
        <v>33</v>
      </c>
      <c r="H322">
        <v>33</v>
      </c>
      <c r="I322" s="10">
        <v>1</v>
      </c>
    </row>
    <row r="323" spans="1:9" ht="30" x14ac:dyDescent="0.25">
      <c r="A323" s="11" t="s">
        <v>151</v>
      </c>
      <c r="B323">
        <v>2024</v>
      </c>
      <c r="C323" t="s">
        <v>626</v>
      </c>
      <c r="D323" t="s">
        <v>15</v>
      </c>
      <c r="E323" t="s">
        <v>34</v>
      </c>
      <c r="F323" s="2" t="s">
        <v>598</v>
      </c>
      <c r="G323">
        <v>73</v>
      </c>
      <c r="H323">
        <v>73</v>
      </c>
      <c r="I323" s="10">
        <v>1</v>
      </c>
    </row>
    <row r="324" spans="1:9" ht="30" x14ac:dyDescent="0.25">
      <c r="A324" s="11" t="s">
        <v>151</v>
      </c>
      <c r="B324">
        <v>2024</v>
      </c>
      <c r="C324" t="s">
        <v>627</v>
      </c>
      <c r="D324" t="s">
        <v>15</v>
      </c>
      <c r="E324" t="s">
        <v>34</v>
      </c>
      <c r="F324" s="2" t="s">
        <v>598</v>
      </c>
      <c r="G324">
        <v>73</v>
      </c>
      <c r="H324">
        <v>73</v>
      </c>
      <c r="I324" s="10">
        <v>1</v>
      </c>
    </row>
    <row r="325" spans="1:9" ht="30" x14ac:dyDescent="0.25">
      <c r="A325" s="11" t="s">
        <v>151</v>
      </c>
      <c r="B325">
        <v>2024</v>
      </c>
      <c r="C325" t="s">
        <v>628</v>
      </c>
      <c r="D325" t="s">
        <v>15</v>
      </c>
      <c r="E325" t="s">
        <v>34</v>
      </c>
      <c r="F325" s="2" t="s">
        <v>598</v>
      </c>
      <c r="G325">
        <v>73</v>
      </c>
      <c r="H325">
        <v>73</v>
      </c>
      <c r="I325" s="10">
        <v>1</v>
      </c>
    </row>
    <row r="326" spans="1:9" ht="30" x14ac:dyDescent="0.25">
      <c r="A326" s="11" t="s">
        <v>151</v>
      </c>
      <c r="B326">
        <v>2024</v>
      </c>
      <c r="C326" t="s">
        <v>629</v>
      </c>
      <c r="D326" t="s">
        <v>15</v>
      </c>
      <c r="E326" t="s">
        <v>34</v>
      </c>
      <c r="F326" s="2" t="s">
        <v>598</v>
      </c>
      <c r="G326">
        <v>73</v>
      </c>
      <c r="H326">
        <v>73</v>
      </c>
      <c r="I326" s="10">
        <v>1</v>
      </c>
    </row>
    <row r="327" spans="1:9" ht="30" x14ac:dyDescent="0.25">
      <c r="A327" s="11" t="s">
        <v>151</v>
      </c>
      <c r="B327">
        <v>2024</v>
      </c>
      <c r="C327" t="s">
        <v>139</v>
      </c>
      <c r="D327" t="s">
        <v>11</v>
      </c>
      <c r="E327" t="s">
        <v>21</v>
      </c>
      <c r="F327" s="2" t="s">
        <v>247</v>
      </c>
      <c r="G327">
        <v>157</v>
      </c>
      <c r="H327">
        <v>158</v>
      </c>
      <c r="I327" s="10">
        <v>0.99367088607594933</v>
      </c>
    </row>
    <row r="328" spans="1:9" ht="30" x14ac:dyDescent="0.25">
      <c r="A328" s="11" t="s">
        <v>151</v>
      </c>
      <c r="B328">
        <v>2024</v>
      </c>
      <c r="C328" t="s">
        <v>140</v>
      </c>
      <c r="D328" t="s">
        <v>11</v>
      </c>
      <c r="E328" t="s">
        <v>21</v>
      </c>
      <c r="F328" s="2" t="s">
        <v>247</v>
      </c>
      <c r="G328">
        <v>124</v>
      </c>
      <c r="H328">
        <v>125</v>
      </c>
      <c r="I328" s="10">
        <v>0.99199999999999999</v>
      </c>
    </row>
    <row r="329" spans="1:9" ht="30" x14ac:dyDescent="0.25">
      <c r="A329" s="11" t="s">
        <v>151</v>
      </c>
      <c r="B329">
        <v>2024</v>
      </c>
      <c r="C329" t="s">
        <v>626</v>
      </c>
      <c r="D329" t="s">
        <v>11</v>
      </c>
      <c r="E329" t="s">
        <v>21</v>
      </c>
      <c r="F329" s="2" t="s">
        <v>247</v>
      </c>
      <c r="G329">
        <v>112</v>
      </c>
      <c r="H329">
        <v>114</v>
      </c>
      <c r="I329" s="10">
        <v>0.98245614035087714</v>
      </c>
    </row>
    <row r="330" spans="1:9" ht="30" x14ac:dyDescent="0.25">
      <c r="A330" s="11" t="s">
        <v>151</v>
      </c>
      <c r="B330">
        <v>2024</v>
      </c>
      <c r="C330" t="s">
        <v>630</v>
      </c>
      <c r="D330" t="s">
        <v>11</v>
      </c>
      <c r="E330" t="s">
        <v>21</v>
      </c>
      <c r="F330" s="2" t="s">
        <v>247</v>
      </c>
      <c r="G330">
        <v>121</v>
      </c>
      <c r="H330">
        <v>123</v>
      </c>
      <c r="I330" s="10">
        <v>0.98373983739837401</v>
      </c>
    </row>
    <row r="331" spans="1:9" ht="30" x14ac:dyDescent="0.25">
      <c r="A331" s="11" t="s">
        <v>151</v>
      </c>
      <c r="B331">
        <v>2024</v>
      </c>
      <c r="C331" t="s">
        <v>142</v>
      </c>
      <c r="D331" t="s">
        <v>11</v>
      </c>
      <c r="E331" t="s">
        <v>21</v>
      </c>
      <c r="F331" s="2" t="s">
        <v>247</v>
      </c>
      <c r="G331">
        <v>176</v>
      </c>
      <c r="H331">
        <v>181</v>
      </c>
      <c r="I331" s="10">
        <v>0.97237569060773477</v>
      </c>
    </row>
    <row r="332" spans="1:9" ht="30" x14ac:dyDescent="0.25">
      <c r="A332" s="11" t="s">
        <v>151</v>
      </c>
      <c r="B332">
        <v>2024</v>
      </c>
      <c r="C332" t="s">
        <v>627</v>
      </c>
      <c r="D332" t="s">
        <v>11</v>
      </c>
      <c r="E332" t="s">
        <v>21</v>
      </c>
      <c r="F332" s="2" t="s">
        <v>247</v>
      </c>
      <c r="G332">
        <v>133</v>
      </c>
      <c r="H332">
        <v>143</v>
      </c>
      <c r="I332" s="10">
        <v>0.93006993006993011</v>
      </c>
    </row>
    <row r="333" spans="1:9" ht="30" x14ac:dyDescent="0.25">
      <c r="A333" s="11" t="s">
        <v>151</v>
      </c>
      <c r="B333">
        <v>2024</v>
      </c>
      <c r="C333" t="s">
        <v>631</v>
      </c>
      <c r="D333" t="s">
        <v>11</v>
      </c>
      <c r="E333" t="s">
        <v>21</v>
      </c>
      <c r="F333" s="2" t="s">
        <v>247</v>
      </c>
      <c r="G333">
        <v>131</v>
      </c>
      <c r="H333">
        <v>133</v>
      </c>
      <c r="I333" s="10">
        <v>0.98496240601503759</v>
      </c>
    </row>
    <row r="334" spans="1:9" ht="30" x14ac:dyDescent="0.25">
      <c r="A334" s="11" t="s">
        <v>151</v>
      </c>
      <c r="B334">
        <v>2024</v>
      </c>
      <c r="C334" t="s">
        <v>632</v>
      </c>
      <c r="D334" t="s">
        <v>11</v>
      </c>
      <c r="E334" t="s">
        <v>21</v>
      </c>
      <c r="F334" s="2" t="s">
        <v>247</v>
      </c>
      <c r="G334">
        <v>132</v>
      </c>
      <c r="H334">
        <v>136</v>
      </c>
      <c r="I334" s="10">
        <v>0.97058823529411764</v>
      </c>
    </row>
    <row r="335" spans="1:9" ht="30" x14ac:dyDescent="0.25">
      <c r="A335" s="11" t="s">
        <v>151</v>
      </c>
      <c r="B335">
        <v>2024</v>
      </c>
      <c r="C335" t="s">
        <v>628</v>
      </c>
      <c r="D335" t="s">
        <v>11</v>
      </c>
      <c r="E335" t="s">
        <v>21</v>
      </c>
      <c r="F335" s="2" t="s">
        <v>247</v>
      </c>
      <c r="G335">
        <v>96</v>
      </c>
      <c r="H335">
        <v>98</v>
      </c>
      <c r="I335" s="10">
        <v>0.97959183673469385</v>
      </c>
    </row>
    <row r="336" spans="1:9" ht="30" x14ac:dyDescent="0.25">
      <c r="A336" s="11" t="s">
        <v>151</v>
      </c>
      <c r="B336">
        <v>2024</v>
      </c>
      <c r="C336" t="s">
        <v>633</v>
      </c>
      <c r="D336" t="s">
        <v>11</v>
      </c>
      <c r="E336" t="s">
        <v>21</v>
      </c>
      <c r="F336" s="2" t="s">
        <v>247</v>
      </c>
      <c r="G336">
        <v>131</v>
      </c>
      <c r="H336">
        <v>136</v>
      </c>
      <c r="I336" s="10">
        <v>0.96323529411764708</v>
      </c>
    </row>
    <row r="337" spans="1:9" ht="30" x14ac:dyDescent="0.25">
      <c r="A337" s="11" t="s">
        <v>151</v>
      </c>
      <c r="B337">
        <v>2024</v>
      </c>
      <c r="C337" t="s">
        <v>634</v>
      </c>
      <c r="D337" t="s">
        <v>11</v>
      </c>
      <c r="E337" t="s">
        <v>21</v>
      </c>
      <c r="F337" s="2" t="s">
        <v>247</v>
      </c>
      <c r="G337">
        <v>120</v>
      </c>
      <c r="H337">
        <v>124</v>
      </c>
      <c r="I337" s="10">
        <v>0.967741935483871</v>
      </c>
    </row>
    <row r="338" spans="1:9" ht="30" x14ac:dyDescent="0.25">
      <c r="A338" s="11" t="s">
        <v>151</v>
      </c>
      <c r="B338">
        <v>2024</v>
      </c>
      <c r="C338" t="s">
        <v>629</v>
      </c>
      <c r="D338" t="s">
        <v>11</v>
      </c>
      <c r="E338" t="s">
        <v>21</v>
      </c>
      <c r="F338" s="2" t="s">
        <v>247</v>
      </c>
      <c r="G338">
        <v>137</v>
      </c>
      <c r="H338">
        <v>143</v>
      </c>
      <c r="I338" s="10">
        <v>0.95804195804195802</v>
      </c>
    </row>
    <row r="339" spans="1:9" ht="30" x14ac:dyDescent="0.25">
      <c r="A339" s="11" t="s">
        <v>129</v>
      </c>
      <c r="B339">
        <v>2024</v>
      </c>
      <c r="C339" t="s">
        <v>626</v>
      </c>
      <c r="D339" t="s">
        <v>11</v>
      </c>
      <c r="E339" t="s">
        <v>184</v>
      </c>
      <c r="F339" s="2" t="s">
        <v>41</v>
      </c>
      <c r="G339">
        <v>8</v>
      </c>
      <c r="H339">
        <v>8</v>
      </c>
      <c r="I339" s="10">
        <v>1</v>
      </c>
    </row>
    <row r="340" spans="1:9" ht="30" x14ac:dyDescent="0.25">
      <c r="A340" s="11" t="s">
        <v>129</v>
      </c>
      <c r="B340">
        <v>2024</v>
      </c>
      <c r="C340" t="s">
        <v>627</v>
      </c>
      <c r="D340" t="s">
        <v>11</v>
      </c>
      <c r="E340" t="s">
        <v>184</v>
      </c>
      <c r="F340" s="2" t="s">
        <v>41</v>
      </c>
      <c r="G340">
        <v>7</v>
      </c>
      <c r="H340">
        <v>8</v>
      </c>
      <c r="I340" s="10">
        <v>0.875</v>
      </c>
    </row>
    <row r="341" spans="1:9" ht="30" x14ac:dyDescent="0.25">
      <c r="A341" s="11" t="s">
        <v>129</v>
      </c>
      <c r="B341">
        <v>2024</v>
      </c>
      <c r="C341" t="s">
        <v>628</v>
      </c>
      <c r="D341" t="s">
        <v>11</v>
      </c>
      <c r="E341" t="s">
        <v>184</v>
      </c>
      <c r="F341" s="2" t="s">
        <v>41</v>
      </c>
      <c r="G341">
        <v>9</v>
      </c>
      <c r="H341">
        <v>9</v>
      </c>
      <c r="I341" s="10">
        <v>1</v>
      </c>
    </row>
    <row r="342" spans="1:9" ht="30" x14ac:dyDescent="0.25">
      <c r="A342" s="11" t="s">
        <v>129</v>
      </c>
      <c r="B342">
        <v>2024</v>
      </c>
      <c r="C342" t="s">
        <v>629</v>
      </c>
      <c r="D342" t="s">
        <v>11</v>
      </c>
      <c r="E342" t="s">
        <v>184</v>
      </c>
      <c r="F342" s="2" t="s">
        <v>41</v>
      </c>
      <c r="G342">
        <v>9</v>
      </c>
      <c r="H342">
        <v>11</v>
      </c>
      <c r="I342" s="10">
        <v>0.81818181818181823</v>
      </c>
    </row>
    <row r="343" spans="1:9" ht="30" x14ac:dyDescent="0.25">
      <c r="A343" s="11" t="s">
        <v>129</v>
      </c>
      <c r="B343">
        <v>2024</v>
      </c>
      <c r="C343" t="s">
        <v>626</v>
      </c>
      <c r="D343" t="s">
        <v>11</v>
      </c>
      <c r="E343" t="s">
        <v>20</v>
      </c>
      <c r="F343" s="2" t="s">
        <v>236</v>
      </c>
      <c r="G343">
        <v>5</v>
      </c>
      <c r="H343">
        <v>12</v>
      </c>
      <c r="I343" s="10">
        <v>0.41666666666666669</v>
      </c>
    </row>
    <row r="344" spans="1:9" ht="30" x14ac:dyDescent="0.25">
      <c r="A344" s="11" t="s">
        <v>129</v>
      </c>
      <c r="B344">
        <v>2024</v>
      </c>
      <c r="C344" t="s">
        <v>627</v>
      </c>
      <c r="D344" t="s">
        <v>11</v>
      </c>
      <c r="E344" t="s">
        <v>20</v>
      </c>
      <c r="F344" s="2" t="s">
        <v>236</v>
      </c>
      <c r="G344">
        <v>6</v>
      </c>
      <c r="H344">
        <v>11</v>
      </c>
      <c r="I344" s="10">
        <v>0.54545454545454541</v>
      </c>
    </row>
    <row r="345" spans="1:9" ht="30" x14ac:dyDescent="0.25">
      <c r="A345" s="11" t="s">
        <v>129</v>
      </c>
      <c r="B345">
        <v>2024</v>
      </c>
      <c r="C345" t="s">
        <v>628</v>
      </c>
      <c r="D345" t="s">
        <v>11</v>
      </c>
      <c r="E345" t="s">
        <v>20</v>
      </c>
      <c r="F345" s="2" t="s">
        <v>236</v>
      </c>
      <c r="G345">
        <v>11</v>
      </c>
      <c r="H345">
        <v>17</v>
      </c>
      <c r="I345" s="10">
        <v>0.6470588235294118</v>
      </c>
    </row>
    <row r="346" spans="1:9" ht="30" x14ac:dyDescent="0.25">
      <c r="A346" s="11" t="s">
        <v>129</v>
      </c>
      <c r="B346">
        <v>2024</v>
      </c>
      <c r="C346" t="s">
        <v>629</v>
      </c>
      <c r="D346" t="s">
        <v>11</v>
      </c>
      <c r="E346" t="s">
        <v>20</v>
      </c>
      <c r="F346" s="2" t="s">
        <v>236</v>
      </c>
      <c r="G346">
        <v>9</v>
      </c>
      <c r="H346">
        <v>15</v>
      </c>
      <c r="I346" s="10">
        <v>0.6</v>
      </c>
    </row>
    <row r="347" spans="1:9" ht="18" customHeight="1" x14ac:dyDescent="0.25">
      <c r="A347" s="11" t="s">
        <v>129</v>
      </c>
      <c r="B347">
        <v>2024</v>
      </c>
      <c r="C347" t="s">
        <v>626</v>
      </c>
      <c r="D347" t="s">
        <v>11</v>
      </c>
      <c r="E347" t="s">
        <v>261</v>
      </c>
      <c r="F347" s="2" t="s">
        <v>263</v>
      </c>
      <c r="G347">
        <v>21</v>
      </c>
      <c r="H347">
        <v>31</v>
      </c>
      <c r="I347" s="10">
        <v>0.67741935483870963</v>
      </c>
    </row>
    <row r="348" spans="1:9" ht="18" customHeight="1" x14ac:dyDescent="0.25">
      <c r="A348" s="11" t="s">
        <v>129</v>
      </c>
      <c r="B348">
        <v>2024</v>
      </c>
      <c r="C348" t="s">
        <v>627</v>
      </c>
      <c r="D348" t="s">
        <v>11</v>
      </c>
      <c r="E348" t="s">
        <v>261</v>
      </c>
      <c r="F348" s="2" t="s">
        <v>263</v>
      </c>
      <c r="G348">
        <v>24</v>
      </c>
      <c r="H348">
        <v>35</v>
      </c>
      <c r="I348" s="10">
        <v>0.68571428571428572</v>
      </c>
    </row>
    <row r="349" spans="1:9" ht="18" customHeight="1" x14ac:dyDescent="0.25">
      <c r="A349" s="11" t="s">
        <v>129</v>
      </c>
      <c r="B349">
        <v>2024</v>
      </c>
      <c r="C349" t="s">
        <v>628</v>
      </c>
      <c r="D349" t="s">
        <v>11</v>
      </c>
      <c r="E349" t="s">
        <v>261</v>
      </c>
      <c r="F349" s="2" t="s">
        <v>263</v>
      </c>
      <c r="G349">
        <v>33</v>
      </c>
      <c r="H349">
        <v>47</v>
      </c>
      <c r="I349" s="10">
        <v>0.7021276595744681</v>
      </c>
    </row>
    <row r="350" spans="1:9" ht="19.5" customHeight="1" x14ac:dyDescent="0.25">
      <c r="A350" s="11" t="s">
        <v>129</v>
      </c>
      <c r="B350">
        <v>2024</v>
      </c>
      <c r="C350" t="s">
        <v>629</v>
      </c>
      <c r="D350" t="s">
        <v>11</v>
      </c>
      <c r="E350" t="s">
        <v>261</v>
      </c>
      <c r="F350" s="2" t="s">
        <v>263</v>
      </c>
      <c r="G350">
        <v>40</v>
      </c>
      <c r="H350">
        <v>48</v>
      </c>
      <c r="I350" s="10">
        <v>0.83333333333333337</v>
      </c>
    </row>
    <row r="351" spans="1:9" ht="30" x14ac:dyDescent="0.25">
      <c r="A351" s="11" t="s">
        <v>129</v>
      </c>
      <c r="B351">
        <v>2024</v>
      </c>
      <c r="C351" t="s">
        <v>626</v>
      </c>
      <c r="D351" t="s">
        <v>14</v>
      </c>
      <c r="E351" t="s">
        <v>315</v>
      </c>
      <c r="F351" s="2" t="s">
        <v>341</v>
      </c>
      <c r="G351">
        <v>12</v>
      </c>
      <c r="H351">
        <v>15</v>
      </c>
      <c r="I351" s="10">
        <v>0.8</v>
      </c>
    </row>
    <row r="352" spans="1:9" ht="30" x14ac:dyDescent="0.25">
      <c r="A352" s="11" t="s">
        <v>129</v>
      </c>
      <c r="B352">
        <v>2024</v>
      </c>
      <c r="C352" t="s">
        <v>627</v>
      </c>
      <c r="D352" t="s">
        <v>14</v>
      </c>
      <c r="E352" t="s">
        <v>315</v>
      </c>
      <c r="F352" s="2" t="s">
        <v>341</v>
      </c>
      <c r="G352">
        <v>14</v>
      </c>
      <c r="H352">
        <v>15</v>
      </c>
      <c r="I352" s="10">
        <v>0.93333333333333335</v>
      </c>
    </row>
    <row r="353" spans="1:9" ht="30" x14ac:dyDescent="0.25">
      <c r="A353" s="11" t="s">
        <v>129</v>
      </c>
      <c r="B353">
        <v>2024</v>
      </c>
      <c r="C353" t="s">
        <v>628</v>
      </c>
      <c r="D353" t="s">
        <v>14</v>
      </c>
      <c r="E353" t="s">
        <v>315</v>
      </c>
      <c r="F353" s="2" t="s">
        <v>341</v>
      </c>
      <c r="G353">
        <v>12</v>
      </c>
      <c r="H353">
        <v>16</v>
      </c>
      <c r="I353" s="10">
        <v>0.75</v>
      </c>
    </row>
    <row r="354" spans="1:9" ht="30" x14ac:dyDescent="0.25">
      <c r="A354" s="11" t="s">
        <v>129</v>
      </c>
      <c r="B354">
        <v>2024</v>
      </c>
      <c r="C354" t="s">
        <v>629</v>
      </c>
      <c r="D354" t="s">
        <v>14</v>
      </c>
      <c r="E354" t="s">
        <v>315</v>
      </c>
      <c r="F354" s="2" t="s">
        <v>341</v>
      </c>
      <c r="G354">
        <v>16</v>
      </c>
      <c r="H354">
        <v>18</v>
      </c>
      <c r="I354" s="10">
        <v>0.88888888888888884</v>
      </c>
    </row>
    <row r="355" spans="1:9" ht="30" x14ac:dyDescent="0.25">
      <c r="A355" s="11" t="s">
        <v>129</v>
      </c>
      <c r="B355">
        <v>2024</v>
      </c>
      <c r="C355" t="s">
        <v>626</v>
      </c>
      <c r="D355" t="s">
        <v>15</v>
      </c>
      <c r="E355" t="s">
        <v>559</v>
      </c>
      <c r="F355" s="2" t="s">
        <v>572</v>
      </c>
      <c r="G355">
        <v>28</v>
      </c>
      <c r="H355">
        <v>28</v>
      </c>
      <c r="I355" s="10">
        <v>1</v>
      </c>
    </row>
    <row r="356" spans="1:9" ht="30" x14ac:dyDescent="0.25">
      <c r="A356" s="11" t="s">
        <v>129</v>
      </c>
      <c r="B356">
        <v>2024</v>
      </c>
      <c r="C356" t="s">
        <v>627</v>
      </c>
      <c r="D356" t="s">
        <v>15</v>
      </c>
      <c r="E356" t="s">
        <v>559</v>
      </c>
      <c r="F356" s="2" t="s">
        <v>572</v>
      </c>
      <c r="G356">
        <v>30</v>
      </c>
      <c r="H356">
        <v>30</v>
      </c>
      <c r="I356" s="10">
        <v>1</v>
      </c>
    </row>
    <row r="357" spans="1:9" ht="30" x14ac:dyDescent="0.25">
      <c r="A357" s="11" t="s">
        <v>129</v>
      </c>
      <c r="B357">
        <v>2024</v>
      </c>
      <c r="C357" t="s">
        <v>628</v>
      </c>
      <c r="D357" t="s">
        <v>15</v>
      </c>
      <c r="E357" t="s">
        <v>559</v>
      </c>
      <c r="F357" s="2" t="s">
        <v>572</v>
      </c>
      <c r="G357">
        <v>30</v>
      </c>
      <c r="H357">
        <v>30</v>
      </c>
      <c r="I357" s="10">
        <v>1</v>
      </c>
    </row>
    <row r="358" spans="1:9" ht="30" x14ac:dyDescent="0.25">
      <c r="A358" s="11" t="s">
        <v>129</v>
      </c>
      <c r="B358">
        <v>2024</v>
      </c>
      <c r="C358" t="s">
        <v>629</v>
      </c>
      <c r="D358" t="s">
        <v>15</v>
      </c>
      <c r="E358" t="s">
        <v>559</v>
      </c>
      <c r="F358" s="2" t="s">
        <v>572</v>
      </c>
      <c r="G358">
        <v>28</v>
      </c>
      <c r="H358">
        <v>28</v>
      </c>
      <c r="I358" s="10">
        <v>1</v>
      </c>
    </row>
    <row r="359" spans="1:9" ht="30" x14ac:dyDescent="0.25">
      <c r="A359" s="11" t="s">
        <v>129</v>
      </c>
      <c r="B359">
        <v>2024</v>
      </c>
      <c r="C359" t="s">
        <v>626</v>
      </c>
      <c r="D359" t="s">
        <v>15</v>
      </c>
      <c r="E359" t="s">
        <v>34</v>
      </c>
      <c r="F359" s="2" t="s">
        <v>601</v>
      </c>
      <c r="G359">
        <v>71</v>
      </c>
      <c r="H359">
        <v>71</v>
      </c>
      <c r="I359" s="10">
        <v>1</v>
      </c>
    </row>
    <row r="360" spans="1:9" ht="30" x14ac:dyDescent="0.25">
      <c r="A360" s="11" t="s">
        <v>129</v>
      </c>
      <c r="B360">
        <v>2024</v>
      </c>
      <c r="C360" t="s">
        <v>627</v>
      </c>
      <c r="D360" t="s">
        <v>15</v>
      </c>
      <c r="E360" t="s">
        <v>34</v>
      </c>
      <c r="F360" s="2" t="s">
        <v>601</v>
      </c>
      <c r="G360">
        <v>71</v>
      </c>
      <c r="H360">
        <v>71</v>
      </c>
      <c r="I360" s="10">
        <v>1</v>
      </c>
    </row>
    <row r="361" spans="1:9" ht="30" x14ac:dyDescent="0.25">
      <c r="A361" s="11" t="s">
        <v>129</v>
      </c>
      <c r="B361">
        <v>2024</v>
      </c>
      <c r="C361" t="s">
        <v>628</v>
      </c>
      <c r="D361" t="s">
        <v>15</v>
      </c>
      <c r="E361" t="s">
        <v>34</v>
      </c>
      <c r="F361" s="2" t="s">
        <v>601</v>
      </c>
      <c r="G361">
        <v>71</v>
      </c>
      <c r="H361">
        <v>71</v>
      </c>
      <c r="I361" s="10">
        <v>1</v>
      </c>
    </row>
    <row r="362" spans="1:9" ht="30" x14ac:dyDescent="0.25">
      <c r="A362" s="11" t="s">
        <v>129</v>
      </c>
      <c r="B362">
        <v>2024</v>
      </c>
      <c r="C362" t="s">
        <v>629</v>
      </c>
      <c r="D362" t="s">
        <v>15</v>
      </c>
      <c r="E362" t="s">
        <v>34</v>
      </c>
      <c r="F362" s="2" t="s">
        <v>601</v>
      </c>
      <c r="G362">
        <v>71</v>
      </c>
      <c r="H362">
        <v>71</v>
      </c>
      <c r="I362" s="10">
        <v>1</v>
      </c>
    </row>
    <row r="363" spans="1:9" ht="30" x14ac:dyDescent="0.25">
      <c r="A363" s="11" t="s">
        <v>129</v>
      </c>
      <c r="B363">
        <v>2024</v>
      </c>
      <c r="C363" t="s">
        <v>139</v>
      </c>
      <c r="D363" t="s">
        <v>11</v>
      </c>
      <c r="E363" t="s">
        <v>21</v>
      </c>
      <c r="F363" s="2" t="s">
        <v>247</v>
      </c>
      <c r="G363">
        <v>10</v>
      </c>
      <c r="H363">
        <v>10</v>
      </c>
      <c r="I363" s="10">
        <v>1</v>
      </c>
    </row>
    <row r="364" spans="1:9" ht="30" x14ac:dyDescent="0.25">
      <c r="A364" s="11" t="s">
        <v>129</v>
      </c>
      <c r="B364">
        <v>2024</v>
      </c>
      <c r="C364" t="s">
        <v>140</v>
      </c>
      <c r="D364" t="s">
        <v>11</v>
      </c>
      <c r="E364" t="s">
        <v>21</v>
      </c>
      <c r="F364" s="2" t="s">
        <v>247</v>
      </c>
      <c r="G364">
        <v>10</v>
      </c>
      <c r="H364">
        <v>10</v>
      </c>
      <c r="I364" s="10">
        <v>1</v>
      </c>
    </row>
    <row r="365" spans="1:9" ht="30" x14ac:dyDescent="0.25">
      <c r="A365" s="11" t="s">
        <v>129</v>
      </c>
      <c r="B365">
        <v>2024</v>
      </c>
      <c r="C365" t="s">
        <v>626</v>
      </c>
      <c r="D365" t="s">
        <v>11</v>
      </c>
      <c r="E365" t="s">
        <v>21</v>
      </c>
      <c r="F365" s="2" t="s">
        <v>247</v>
      </c>
      <c r="G365">
        <v>10</v>
      </c>
      <c r="H365">
        <v>10</v>
      </c>
      <c r="I365" s="10">
        <v>1</v>
      </c>
    </row>
    <row r="366" spans="1:9" ht="30" x14ac:dyDescent="0.25">
      <c r="A366" s="11" t="s">
        <v>129</v>
      </c>
      <c r="B366">
        <v>2024</v>
      </c>
      <c r="C366" t="s">
        <v>630</v>
      </c>
      <c r="D366" t="s">
        <v>11</v>
      </c>
      <c r="E366" t="s">
        <v>21</v>
      </c>
      <c r="F366" s="2" t="s">
        <v>247</v>
      </c>
      <c r="G366">
        <v>9</v>
      </c>
      <c r="H366">
        <v>9</v>
      </c>
      <c r="I366" s="10">
        <v>1</v>
      </c>
    </row>
    <row r="367" spans="1:9" ht="30" x14ac:dyDescent="0.25">
      <c r="A367" s="11" t="s">
        <v>129</v>
      </c>
      <c r="B367">
        <v>2024</v>
      </c>
      <c r="C367" t="s">
        <v>142</v>
      </c>
      <c r="D367" t="s">
        <v>11</v>
      </c>
      <c r="E367" t="s">
        <v>21</v>
      </c>
      <c r="F367" s="2" t="s">
        <v>247</v>
      </c>
      <c r="G367">
        <v>13</v>
      </c>
      <c r="H367">
        <v>13</v>
      </c>
      <c r="I367" s="10">
        <v>1</v>
      </c>
    </row>
    <row r="368" spans="1:9" ht="30" x14ac:dyDescent="0.25">
      <c r="A368" s="11" t="s">
        <v>129</v>
      </c>
      <c r="B368">
        <v>2024</v>
      </c>
      <c r="C368" t="s">
        <v>627</v>
      </c>
      <c r="D368" t="s">
        <v>11</v>
      </c>
      <c r="E368" t="s">
        <v>21</v>
      </c>
      <c r="F368" s="2" t="s">
        <v>247</v>
      </c>
      <c r="G368">
        <v>15</v>
      </c>
      <c r="H368">
        <v>15</v>
      </c>
      <c r="I368" s="10">
        <v>1</v>
      </c>
    </row>
    <row r="369" spans="1:9" ht="30" x14ac:dyDescent="0.25">
      <c r="A369" s="11" t="s">
        <v>129</v>
      </c>
      <c r="B369">
        <v>2024</v>
      </c>
      <c r="C369" t="s">
        <v>631</v>
      </c>
      <c r="D369" t="s">
        <v>11</v>
      </c>
      <c r="E369" t="s">
        <v>21</v>
      </c>
      <c r="F369" s="2" t="s">
        <v>247</v>
      </c>
      <c r="G369">
        <v>12</v>
      </c>
      <c r="H369">
        <v>12</v>
      </c>
      <c r="I369" s="10">
        <v>1</v>
      </c>
    </row>
    <row r="370" spans="1:9" ht="30" x14ac:dyDescent="0.25">
      <c r="A370" s="11" t="s">
        <v>129</v>
      </c>
      <c r="B370">
        <v>2024</v>
      </c>
      <c r="C370" t="s">
        <v>632</v>
      </c>
      <c r="D370" t="s">
        <v>11</v>
      </c>
      <c r="E370" t="s">
        <v>21</v>
      </c>
      <c r="F370" s="2" t="s">
        <v>247</v>
      </c>
      <c r="G370">
        <v>15</v>
      </c>
      <c r="H370">
        <v>15</v>
      </c>
      <c r="I370" s="10">
        <v>1</v>
      </c>
    </row>
    <row r="371" spans="1:9" ht="30" x14ac:dyDescent="0.25">
      <c r="A371" s="11" t="s">
        <v>129</v>
      </c>
      <c r="B371">
        <v>2024</v>
      </c>
      <c r="C371" t="s">
        <v>628</v>
      </c>
      <c r="D371" t="s">
        <v>11</v>
      </c>
      <c r="E371" t="s">
        <v>21</v>
      </c>
      <c r="F371" s="2" t="s">
        <v>247</v>
      </c>
      <c r="G371">
        <v>14</v>
      </c>
      <c r="H371">
        <v>14</v>
      </c>
      <c r="I371" s="10">
        <v>1</v>
      </c>
    </row>
    <row r="372" spans="1:9" ht="30" x14ac:dyDescent="0.25">
      <c r="A372" s="11" t="s">
        <v>129</v>
      </c>
      <c r="B372">
        <v>2024</v>
      </c>
      <c r="C372" t="s">
        <v>633</v>
      </c>
      <c r="D372" t="s">
        <v>11</v>
      </c>
      <c r="E372" t="s">
        <v>21</v>
      </c>
      <c r="F372" s="2" t="s">
        <v>247</v>
      </c>
      <c r="G372">
        <v>15</v>
      </c>
      <c r="H372">
        <v>15</v>
      </c>
      <c r="I372" s="10">
        <v>1</v>
      </c>
    </row>
    <row r="373" spans="1:9" ht="30" x14ac:dyDescent="0.25">
      <c r="A373" s="11" t="s">
        <v>129</v>
      </c>
      <c r="B373">
        <v>2024</v>
      </c>
      <c r="C373" t="s">
        <v>634</v>
      </c>
      <c r="D373" t="s">
        <v>11</v>
      </c>
      <c r="E373" t="s">
        <v>21</v>
      </c>
      <c r="F373" s="2" t="s">
        <v>247</v>
      </c>
      <c r="G373">
        <v>15</v>
      </c>
      <c r="H373">
        <v>15</v>
      </c>
      <c r="I373" s="10">
        <v>1</v>
      </c>
    </row>
    <row r="374" spans="1:9" ht="30" x14ac:dyDescent="0.25">
      <c r="A374" s="11" t="s">
        <v>129</v>
      </c>
      <c r="B374">
        <v>2024</v>
      </c>
      <c r="C374" t="s">
        <v>629</v>
      </c>
      <c r="D374" t="s">
        <v>11</v>
      </c>
      <c r="E374" t="s">
        <v>21</v>
      </c>
      <c r="F374" s="2" t="s">
        <v>247</v>
      </c>
      <c r="G374">
        <v>11</v>
      </c>
      <c r="H374">
        <v>11</v>
      </c>
      <c r="I374" s="10">
        <v>1</v>
      </c>
    </row>
    <row r="375" spans="1:9" ht="30" x14ac:dyDescent="0.25">
      <c r="A375" s="11" t="s">
        <v>130</v>
      </c>
      <c r="B375">
        <v>2024</v>
      </c>
      <c r="C375" t="s">
        <v>139</v>
      </c>
      <c r="D375" t="s">
        <v>11</v>
      </c>
      <c r="E375" t="s">
        <v>184</v>
      </c>
      <c r="F375" s="2" t="s">
        <v>193</v>
      </c>
      <c r="G375">
        <v>31</v>
      </c>
      <c r="H375">
        <v>31</v>
      </c>
      <c r="I375" s="10">
        <v>1</v>
      </c>
    </row>
    <row r="376" spans="1:9" ht="30" x14ac:dyDescent="0.25">
      <c r="A376" s="11" t="s">
        <v>130</v>
      </c>
      <c r="B376">
        <v>2024</v>
      </c>
      <c r="C376" t="s">
        <v>140</v>
      </c>
      <c r="D376" t="s">
        <v>11</v>
      </c>
      <c r="E376" t="s">
        <v>184</v>
      </c>
      <c r="F376" s="2" t="s">
        <v>193</v>
      </c>
      <c r="G376">
        <v>25</v>
      </c>
      <c r="H376">
        <v>25</v>
      </c>
      <c r="I376" s="10">
        <v>1</v>
      </c>
    </row>
    <row r="377" spans="1:9" ht="30" x14ac:dyDescent="0.25">
      <c r="A377" s="11" t="s">
        <v>130</v>
      </c>
      <c r="B377">
        <v>2024</v>
      </c>
      <c r="C377" t="s">
        <v>626</v>
      </c>
      <c r="D377" t="s">
        <v>11</v>
      </c>
      <c r="E377" t="s">
        <v>184</v>
      </c>
      <c r="F377" s="2" t="s">
        <v>193</v>
      </c>
      <c r="G377">
        <v>30</v>
      </c>
      <c r="H377">
        <v>30</v>
      </c>
      <c r="I377" s="10">
        <v>1</v>
      </c>
    </row>
    <row r="378" spans="1:9" ht="30" x14ac:dyDescent="0.25">
      <c r="A378" s="11" t="s">
        <v>130</v>
      </c>
      <c r="B378">
        <v>2024</v>
      </c>
      <c r="C378" t="s">
        <v>630</v>
      </c>
      <c r="D378" t="s">
        <v>11</v>
      </c>
      <c r="E378" t="s">
        <v>184</v>
      </c>
      <c r="F378" s="2" t="s">
        <v>193</v>
      </c>
      <c r="G378">
        <v>35</v>
      </c>
      <c r="H378">
        <v>35</v>
      </c>
      <c r="I378" s="10">
        <v>1</v>
      </c>
    </row>
    <row r="379" spans="1:9" ht="30" x14ac:dyDescent="0.25">
      <c r="A379" s="11" t="s">
        <v>130</v>
      </c>
      <c r="B379">
        <v>2024</v>
      </c>
      <c r="C379" t="s">
        <v>142</v>
      </c>
      <c r="D379" t="s">
        <v>11</v>
      </c>
      <c r="E379" t="s">
        <v>184</v>
      </c>
      <c r="F379" s="2" t="s">
        <v>193</v>
      </c>
      <c r="G379">
        <v>21</v>
      </c>
      <c r="H379">
        <v>21</v>
      </c>
      <c r="I379" s="10">
        <v>1</v>
      </c>
    </row>
    <row r="380" spans="1:9" ht="30" x14ac:dyDescent="0.25">
      <c r="A380" s="11" t="s">
        <v>130</v>
      </c>
      <c r="B380">
        <v>2024</v>
      </c>
      <c r="C380" t="s">
        <v>627</v>
      </c>
      <c r="D380" t="s">
        <v>11</v>
      </c>
      <c r="E380" t="s">
        <v>184</v>
      </c>
      <c r="F380" s="2" t="s">
        <v>193</v>
      </c>
      <c r="G380">
        <v>47</v>
      </c>
      <c r="H380">
        <v>47</v>
      </c>
      <c r="I380" s="10">
        <v>1</v>
      </c>
    </row>
    <row r="381" spans="1:9" ht="30" x14ac:dyDescent="0.25">
      <c r="A381" s="11" t="s">
        <v>130</v>
      </c>
      <c r="B381">
        <v>2024</v>
      </c>
      <c r="C381" t="s">
        <v>631</v>
      </c>
      <c r="D381" t="s">
        <v>11</v>
      </c>
      <c r="E381" t="s">
        <v>184</v>
      </c>
      <c r="F381" s="2" t="s">
        <v>193</v>
      </c>
      <c r="G381">
        <v>42</v>
      </c>
      <c r="H381">
        <v>42</v>
      </c>
      <c r="I381" s="10">
        <v>1</v>
      </c>
    </row>
    <row r="382" spans="1:9" ht="30" x14ac:dyDescent="0.25">
      <c r="A382" s="11" t="s">
        <v>130</v>
      </c>
      <c r="B382">
        <v>2024</v>
      </c>
      <c r="C382" t="s">
        <v>632</v>
      </c>
      <c r="D382" t="s">
        <v>11</v>
      </c>
      <c r="E382" t="s">
        <v>184</v>
      </c>
      <c r="F382" s="2" t="s">
        <v>193</v>
      </c>
      <c r="G382">
        <v>45</v>
      </c>
      <c r="H382">
        <v>45</v>
      </c>
      <c r="I382" s="10">
        <v>1</v>
      </c>
    </row>
    <row r="383" spans="1:9" ht="30" x14ac:dyDescent="0.25">
      <c r="A383" s="11" t="s">
        <v>130</v>
      </c>
      <c r="B383">
        <v>2024</v>
      </c>
      <c r="C383" t="s">
        <v>628</v>
      </c>
      <c r="D383" t="s">
        <v>11</v>
      </c>
      <c r="E383" t="s">
        <v>184</v>
      </c>
      <c r="F383" s="2" t="s">
        <v>193</v>
      </c>
      <c r="G383">
        <v>34</v>
      </c>
      <c r="H383">
        <v>34</v>
      </c>
      <c r="I383" s="10">
        <v>1</v>
      </c>
    </row>
    <row r="384" spans="1:9" ht="30" x14ac:dyDescent="0.25">
      <c r="A384" s="11" t="s">
        <v>130</v>
      </c>
      <c r="B384">
        <v>2024</v>
      </c>
      <c r="C384" t="s">
        <v>633</v>
      </c>
      <c r="D384" t="s">
        <v>11</v>
      </c>
      <c r="E384" t="s">
        <v>184</v>
      </c>
      <c r="F384" s="2" t="s">
        <v>193</v>
      </c>
      <c r="G384">
        <v>39</v>
      </c>
      <c r="H384">
        <v>39</v>
      </c>
      <c r="I384" s="10">
        <v>1</v>
      </c>
    </row>
    <row r="385" spans="1:9" ht="30" x14ac:dyDescent="0.25">
      <c r="A385" s="11" t="s">
        <v>130</v>
      </c>
      <c r="B385">
        <v>2024</v>
      </c>
      <c r="C385" t="s">
        <v>634</v>
      </c>
      <c r="D385" t="s">
        <v>11</v>
      </c>
      <c r="E385" t="s">
        <v>184</v>
      </c>
      <c r="F385" s="2" t="s">
        <v>193</v>
      </c>
      <c r="G385">
        <v>14</v>
      </c>
      <c r="H385">
        <v>16</v>
      </c>
      <c r="I385" s="10">
        <v>0.875</v>
      </c>
    </row>
    <row r="386" spans="1:9" ht="30" x14ac:dyDescent="0.25">
      <c r="A386" s="11" t="s">
        <v>130</v>
      </c>
      <c r="B386">
        <v>2024</v>
      </c>
      <c r="C386" t="s">
        <v>629</v>
      </c>
      <c r="D386" t="s">
        <v>11</v>
      </c>
      <c r="E386" t="s">
        <v>184</v>
      </c>
      <c r="F386" s="2" t="s">
        <v>193</v>
      </c>
      <c r="G386">
        <v>41</v>
      </c>
      <c r="H386">
        <v>41</v>
      </c>
      <c r="I386" s="10">
        <v>1</v>
      </c>
    </row>
    <row r="387" spans="1:9" ht="30" x14ac:dyDescent="0.25">
      <c r="A387" s="11" t="s">
        <v>130</v>
      </c>
      <c r="B387">
        <v>2024</v>
      </c>
      <c r="C387" t="s">
        <v>139</v>
      </c>
      <c r="D387" t="s">
        <v>11</v>
      </c>
      <c r="E387" t="s">
        <v>21</v>
      </c>
      <c r="F387" s="2" t="s">
        <v>247</v>
      </c>
      <c r="G387">
        <v>96</v>
      </c>
      <c r="H387">
        <v>96</v>
      </c>
      <c r="I387" s="10">
        <v>1</v>
      </c>
    </row>
    <row r="388" spans="1:9" ht="30" x14ac:dyDescent="0.25">
      <c r="A388" s="11" t="s">
        <v>130</v>
      </c>
      <c r="B388">
        <v>2024</v>
      </c>
      <c r="C388" t="s">
        <v>140</v>
      </c>
      <c r="D388" t="s">
        <v>11</v>
      </c>
      <c r="E388" t="s">
        <v>21</v>
      </c>
      <c r="F388" s="2" t="s">
        <v>247</v>
      </c>
      <c r="G388">
        <v>84</v>
      </c>
      <c r="H388">
        <v>85</v>
      </c>
      <c r="I388" s="10">
        <v>0.9882352941176471</v>
      </c>
    </row>
    <row r="389" spans="1:9" ht="30" x14ac:dyDescent="0.25">
      <c r="A389" s="11" t="s">
        <v>130</v>
      </c>
      <c r="B389">
        <v>2024</v>
      </c>
      <c r="C389" t="s">
        <v>626</v>
      </c>
      <c r="D389" t="s">
        <v>11</v>
      </c>
      <c r="E389" t="s">
        <v>21</v>
      </c>
      <c r="F389" s="2" t="s">
        <v>247</v>
      </c>
      <c r="G389">
        <v>72</v>
      </c>
      <c r="H389">
        <v>72</v>
      </c>
      <c r="I389" s="10">
        <v>1</v>
      </c>
    </row>
    <row r="390" spans="1:9" ht="30" x14ac:dyDescent="0.25">
      <c r="A390" s="11" t="s">
        <v>130</v>
      </c>
      <c r="B390">
        <v>2024</v>
      </c>
      <c r="C390" t="s">
        <v>630</v>
      </c>
      <c r="D390" t="s">
        <v>11</v>
      </c>
      <c r="E390" t="s">
        <v>21</v>
      </c>
      <c r="F390" s="2" t="s">
        <v>247</v>
      </c>
      <c r="G390">
        <v>85</v>
      </c>
      <c r="H390">
        <v>85</v>
      </c>
      <c r="I390" s="10">
        <v>1</v>
      </c>
    </row>
    <row r="391" spans="1:9" ht="30" x14ac:dyDescent="0.25">
      <c r="A391" s="11" t="s">
        <v>130</v>
      </c>
      <c r="B391">
        <v>2024</v>
      </c>
      <c r="C391" t="s">
        <v>142</v>
      </c>
      <c r="D391" t="s">
        <v>11</v>
      </c>
      <c r="E391" t="s">
        <v>21</v>
      </c>
      <c r="F391" s="2" t="s">
        <v>247</v>
      </c>
      <c r="G391">
        <v>57</v>
      </c>
      <c r="H391">
        <v>57</v>
      </c>
      <c r="I391" s="10">
        <v>1</v>
      </c>
    </row>
    <row r="392" spans="1:9" ht="30" x14ac:dyDescent="0.25">
      <c r="A392" s="11" t="s">
        <v>130</v>
      </c>
      <c r="B392">
        <v>2024</v>
      </c>
      <c r="C392" t="s">
        <v>627</v>
      </c>
      <c r="D392" t="s">
        <v>11</v>
      </c>
      <c r="E392" t="s">
        <v>21</v>
      </c>
      <c r="F392" s="2" t="s">
        <v>247</v>
      </c>
      <c r="G392">
        <v>99</v>
      </c>
      <c r="H392">
        <v>99</v>
      </c>
      <c r="I392" s="10">
        <v>1</v>
      </c>
    </row>
    <row r="393" spans="1:9" ht="30" x14ac:dyDescent="0.25">
      <c r="A393" s="11" t="s">
        <v>130</v>
      </c>
      <c r="B393">
        <v>2024</v>
      </c>
      <c r="C393" t="s">
        <v>631</v>
      </c>
      <c r="D393" t="s">
        <v>11</v>
      </c>
      <c r="E393" t="s">
        <v>21</v>
      </c>
      <c r="F393" s="2" t="s">
        <v>247</v>
      </c>
      <c r="G393">
        <v>93</v>
      </c>
      <c r="H393">
        <v>93</v>
      </c>
      <c r="I393" s="10">
        <v>1</v>
      </c>
    </row>
    <row r="394" spans="1:9" ht="30" x14ac:dyDescent="0.25">
      <c r="A394" s="11" t="s">
        <v>130</v>
      </c>
      <c r="B394">
        <v>2024</v>
      </c>
      <c r="C394" t="s">
        <v>632</v>
      </c>
      <c r="D394" t="s">
        <v>11</v>
      </c>
      <c r="E394" t="s">
        <v>21</v>
      </c>
      <c r="F394" s="2" t="s">
        <v>247</v>
      </c>
      <c r="G394">
        <v>103</v>
      </c>
      <c r="H394">
        <v>103</v>
      </c>
      <c r="I394" s="10">
        <v>1</v>
      </c>
    </row>
    <row r="395" spans="1:9" ht="30" x14ac:dyDescent="0.25">
      <c r="A395" s="11" t="s">
        <v>130</v>
      </c>
      <c r="B395">
        <v>2024</v>
      </c>
      <c r="C395" t="s">
        <v>628</v>
      </c>
      <c r="D395" t="s">
        <v>11</v>
      </c>
      <c r="E395" t="s">
        <v>21</v>
      </c>
      <c r="F395" s="2" t="s">
        <v>247</v>
      </c>
      <c r="G395">
        <v>80</v>
      </c>
      <c r="H395">
        <v>80</v>
      </c>
      <c r="I395" s="10">
        <v>1</v>
      </c>
    </row>
    <row r="396" spans="1:9" ht="30" x14ac:dyDescent="0.25">
      <c r="A396" s="11" t="s">
        <v>130</v>
      </c>
      <c r="B396">
        <v>2024</v>
      </c>
      <c r="C396" t="s">
        <v>633</v>
      </c>
      <c r="D396" t="s">
        <v>11</v>
      </c>
      <c r="E396" t="s">
        <v>21</v>
      </c>
      <c r="F396" s="2" t="s">
        <v>247</v>
      </c>
      <c r="G396">
        <v>98</v>
      </c>
      <c r="H396">
        <v>99</v>
      </c>
      <c r="I396" s="10">
        <v>0.98989898989898994</v>
      </c>
    </row>
    <row r="397" spans="1:9" ht="30" x14ac:dyDescent="0.25">
      <c r="A397" s="11" t="s">
        <v>130</v>
      </c>
      <c r="B397">
        <v>2024</v>
      </c>
      <c r="C397" t="s">
        <v>634</v>
      </c>
      <c r="D397" t="s">
        <v>11</v>
      </c>
      <c r="E397" t="s">
        <v>21</v>
      </c>
      <c r="F397" s="2" t="s">
        <v>247</v>
      </c>
      <c r="G397">
        <v>72</v>
      </c>
      <c r="H397">
        <v>72</v>
      </c>
      <c r="I397" s="10">
        <v>1</v>
      </c>
    </row>
    <row r="398" spans="1:9" ht="30" x14ac:dyDescent="0.25">
      <c r="A398" s="11" t="s">
        <v>130</v>
      </c>
      <c r="B398">
        <v>2024</v>
      </c>
      <c r="C398" t="s">
        <v>629</v>
      </c>
      <c r="D398" t="s">
        <v>11</v>
      </c>
      <c r="E398" t="s">
        <v>21</v>
      </c>
      <c r="F398" s="2" t="s">
        <v>247</v>
      </c>
      <c r="G398">
        <v>82</v>
      </c>
      <c r="H398">
        <v>83</v>
      </c>
      <c r="I398" s="10">
        <v>0.98795180722891562</v>
      </c>
    </row>
    <row r="399" spans="1:9" ht="30" x14ac:dyDescent="0.25">
      <c r="A399" s="11" t="s">
        <v>279</v>
      </c>
      <c r="B399">
        <v>2024</v>
      </c>
      <c r="C399" t="s">
        <v>626</v>
      </c>
      <c r="D399" t="s">
        <v>11</v>
      </c>
      <c r="E399" t="s">
        <v>273</v>
      </c>
      <c r="F399" s="2" t="s">
        <v>274</v>
      </c>
      <c r="G399">
        <v>37</v>
      </c>
      <c r="H399">
        <v>39</v>
      </c>
      <c r="I399" s="10">
        <v>0.94871794871794868</v>
      </c>
    </row>
    <row r="400" spans="1:9" ht="30" x14ac:dyDescent="0.25">
      <c r="A400" s="11" t="s">
        <v>279</v>
      </c>
      <c r="B400">
        <v>2024</v>
      </c>
      <c r="C400" t="s">
        <v>627</v>
      </c>
      <c r="D400" t="s">
        <v>11</v>
      </c>
      <c r="E400" t="s">
        <v>273</v>
      </c>
      <c r="F400" s="2" t="s">
        <v>274</v>
      </c>
      <c r="G400">
        <v>38</v>
      </c>
      <c r="H400">
        <v>39</v>
      </c>
      <c r="I400" s="10">
        <v>0.97435897435897434</v>
      </c>
    </row>
    <row r="401" spans="1:9" ht="30" x14ac:dyDescent="0.25">
      <c r="A401" s="11" t="s">
        <v>279</v>
      </c>
      <c r="B401">
        <v>2024</v>
      </c>
      <c r="C401" t="s">
        <v>628</v>
      </c>
      <c r="D401" t="s">
        <v>11</v>
      </c>
      <c r="E401" t="s">
        <v>273</v>
      </c>
      <c r="F401" s="2" t="s">
        <v>274</v>
      </c>
      <c r="G401">
        <v>38</v>
      </c>
      <c r="H401">
        <v>39</v>
      </c>
      <c r="I401" s="10">
        <v>0.97435897435897434</v>
      </c>
    </row>
    <row r="402" spans="1:9" ht="30" x14ac:dyDescent="0.25">
      <c r="A402" s="11" t="s">
        <v>279</v>
      </c>
      <c r="B402">
        <v>2024</v>
      </c>
      <c r="C402" t="s">
        <v>629</v>
      </c>
      <c r="D402" t="s">
        <v>11</v>
      </c>
      <c r="E402" t="s">
        <v>273</v>
      </c>
      <c r="F402" s="2" t="s">
        <v>274</v>
      </c>
      <c r="G402">
        <v>36</v>
      </c>
      <c r="H402">
        <v>39</v>
      </c>
      <c r="I402" s="10">
        <v>0.92307692307692313</v>
      </c>
    </row>
    <row r="403" spans="1:9" ht="30" x14ac:dyDescent="0.25">
      <c r="A403" s="11" t="s">
        <v>132</v>
      </c>
      <c r="B403">
        <v>2024</v>
      </c>
      <c r="C403" t="s">
        <v>626</v>
      </c>
      <c r="D403" t="s">
        <v>11</v>
      </c>
      <c r="E403" t="s">
        <v>184</v>
      </c>
      <c r="F403" s="2" t="s">
        <v>199</v>
      </c>
      <c r="G403">
        <v>12</v>
      </c>
      <c r="H403">
        <v>12</v>
      </c>
      <c r="I403" s="10">
        <v>1</v>
      </c>
    </row>
    <row r="404" spans="1:9" ht="30" x14ac:dyDescent="0.25">
      <c r="A404" s="11" t="s">
        <v>132</v>
      </c>
      <c r="B404">
        <v>2024</v>
      </c>
      <c r="C404" t="s">
        <v>627</v>
      </c>
      <c r="D404" t="s">
        <v>11</v>
      </c>
      <c r="E404" t="s">
        <v>184</v>
      </c>
      <c r="F404" s="2" t="s">
        <v>199</v>
      </c>
      <c r="G404">
        <v>39</v>
      </c>
      <c r="H404">
        <v>39</v>
      </c>
      <c r="I404" s="10">
        <v>1</v>
      </c>
    </row>
    <row r="405" spans="1:9" ht="30" x14ac:dyDescent="0.25">
      <c r="A405" s="11" t="s">
        <v>132</v>
      </c>
      <c r="B405">
        <v>2024</v>
      </c>
      <c r="C405" t="s">
        <v>628</v>
      </c>
      <c r="D405" t="s">
        <v>11</v>
      </c>
      <c r="E405" t="s">
        <v>184</v>
      </c>
      <c r="F405" s="2" t="s">
        <v>199</v>
      </c>
      <c r="G405">
        <v>38</v>
      </c>
      <c r="H405">
        <v>39</v>
      </c>
      <c r="I405" s="10">
        <v>0.97435897435897434</v>
      </c>
    </row>
    <row r="406" spans="1:9" ht="30" x14ac:dyDescent="0.25">
      <c r="A406" s="11" t="s">
        <v>132</v>
      </c>
      <c r="B406">
        <v>2024</v>
      </c>
      <c r="C406" t="s">
        <v>629</v>
      </c>
      <c r="D406" t="s">
        <v>11</v>
      </c>
      <c r="E406" t="s">
        <v>184</v>
      </c>
      <c r="F406" s="2" t="s">
        <v>199</v>
      </c>
      <c r="G406">
        <v>38</v>
      </c>
      <c r="H406">
        <v>39</v>
      </c>
      <c r="I406" s="10">
        <v>0.97435897435897434</v>
      </c>
    </row>
    <row r="407" spans="1:9" ht="30" x14ac:dyDescent="0.25">
      <c r="A407" s="11" t="s">
        <v>132</v>
      </c>
      <c r="B407">
        <v>2024</v>
      </c>
      <c r="C407" t="s">
        <v>626</v>
      </c>
      <c r="D407" t="s">
        <v>11</v>
      </c>
      <c r="E407" t="s">
        <v>261</v>
      </c>
      <c r="F407" s="2" t="s">
        <v>262</v>
      </c>
      <c r="G407">
        <v>8</v>
      </c>
      <c r="H407">
        <v>12</v>
      </c>
      <c r="I407" s="10">
        <v>0.66666666666666663</v>
      </c>
    </row>
    <row r="408" spans="1:9" ht="30" x14ac:dyDescent="0.25">
      <c r="A408" s="11" t="s">
        <v>132</v>
      </c>
      <c r="B408">
        <v>2024</v>
      </c>
      <c r="C408" t="s">
        <v>627</v>
      </c>
      <c r="D408" t="s">
        <v>11</v>
      </c>
      <c r="E408" t="s">
        <v>261</v>
      </c>
      <c r="F408" s="2" t="s">
        <v>262</v>
      </c>
      <c r="G408">
        <v>37</v>
      </c>
      <c r="H408">
        <v>39</v>
      </c>
      <c r="I408" s="10">
        <v>0.94871794871794868</v>
      </c>
    </row>
    <row r="409" spans="1:9" ht="30" x14ac:dyDescent="0.25">
      <c r="A409" s="11" t="s">
        <v>132</v>
      </c>
      <c r="B409">
        <v>2024</v>
      </c>
      <c r="C409" t="s">
        <v>628</v>
      </c>
      <c r="D409" t="s">
        <v>11</v>
      </c>
      <c r="E409" t="s">
        <v>261</v>
      </c>
      <c r="F409" s="2" t="s">
        <v>262</v>
      </c>
      <c r="G409">
        <v>36</v>
      </c>
      <c r="H409">
        <v>39</v>
      </c>
      <c r="I409" s="10">
        <v>0.92307692307692313</v>
      </c>
    </row>
    <row r="410" spans="1:9" ht="30" x14ac:dyDescent="0.25">
      <c r="A410" s="11" t="s">
        <v>132</v>
      </c>
      <c r="B410">
        <v>2024</v>
      </c>
      <c r="C410" t="s">
        <v>629</v>
      </c>
      <c r="D410" t="s">
        <v>11</v>
      </c>
      <c r="E410" t="s">
        <v>261</v>
      </c>
      <c r="F410" s="2" t="s">
        <v>262</v>
      </c>
      <c r="G410">
        <v>41</v>
      </c>
      <c r="H410">
        <v>42</v>
      </c>
      <c r="I410" s="10">
        <v>0.97619047619047616</v>
      </c>
    </row>
    <row r="411" spans="1:9" ht="30" x14ac:dyDescent="0.25">
      <c r="A411" s="11" t="s">
        <v>132</v>
      </c>
      <c r="B411">
        <v>2024</v>
      </c>
      <c r="C411" t="s">
        <v>626</v>
      </c>
      <c r="D411" t="s">
        <v>11</v>
      </c>
      <c r="E411" t="s">
        <v>273</v>
      </c>
      <c r="F411" s="2" t="s">
        <v>274</v>
      </c>
      <c r="G411">
        <v>9</v>
      </c>
      <c r="H411">
        <v>12</v>
      </c>
      <c r="I411" s="10">
        <v>0.75</v>
      </c>
    </row>
    <row r="412" spans="1:9" ht="30" x14ac:dyDescent="0.25">
      <c r="A412" s="11" t="s">
        <v>132</v>
      </c>
      <c r="B412">
        <v>2024</v>
      </c>
      <c r="C412" t="s">
        <v>627</v>
      </c>
      <c r="D412" t="s">
        <v>11</v>
      </c>
      <c r="E412" t="s">
        <v>273</v>
      </c>
      <c r="F412" s="2" t="s">
        <v>274</v>
      </c>
      <c r="G412">
        <v>36</v>
      </c>
      <c r="H412">
        <v>39</v>
      </c>
      <c r="I412" s="10">
        <v>0.92307692307692313</v>
      </c>
    </row>
    <row r="413" spans="1:9" ht="30" x14ac:dyDescent="0.25">
      <c r="A413" s="11" t="s">
        <v>132</v>
      </c>
      <c r="B413">
        <v>2024</v>
      </c>
      <c r="C413" t="s">
        <v>628</v>
      </c>
      <c r="D413" t="s">
        <v>11</v>
      </c>
      <c r="E413" t="s">
        <v>273</v>
      </c>
      <c r="F413" s="2" t="s">
        <v>274</v>
      </c>
      <c r="G413">
        <v>35</v>
      </c>
      <c r="H413">
        <v>39</v>
      </c>
      <c r="I413" s="10">
        <v>0.89743589743589747</v>
      </c>
    </row>
    <row r="414" spans="1:9" ht="30" x14ac:dyDescent="0.25">
      <c r="A414" s="11" t="s">
        <v>132</v>
      </c>
      <c r="B414">
        <v>2024</v>
      </c>
      <c r="C414" t="s">
        <v>629</v>
      </c>
      <c r="D414" t="s">
        <v>11</v>
      </c>
      <c r="E414" t="s">
        <v>273</v>
      </c>
      <c r="F414" s="2" t="s">
        <v>274</v>
      </c>
      <c r="G414">
        <v>37</v>
      </c>
      <c r="H414">
        <v>39</v>
      </c>
      <c r="I414" s="10">
        <v>0.94871794871794868</v>
      </c>
    </row>
    <row r="415" spans="1:9" ht="30" x14ac:dyDescent="0.25">
      <c r="A415" s="11" t="s">
        <v>132</v>
      </c>
      <c r="B415">
        <v>2024</v>
      </c>
      <c r="C415" t="s">
        <v>626</v>
      </c>
      <c r="D415" t="s">
        <v>15</v>
      </c>
      <c r="E415" t="s">
        <v>559</v>
      </c>
      <c r="F415" s="2" t="s">
        <v>578</v>
      </c>
      <c r="G415">
        <v>34</v>
      </c>
      <c r="H415">
        <v>34</v>
      </c>
      <c r="I415" s="10">
        <v>1</v>
      </c>
    </row>
    <row r="416" spans="1:9" ht="30" x14ac:dyDescent="0.25">
      <c r="A416" s="11" t="s">
        <v>132</v>
      </c>
      <c r="B416">
        <v>2024</v>
      </c>
      <c r="C416" t="s">
        <v>627</v>
      </c>
      <c r="D416" t="s">
        <v>15</v>
      </c>
      <c r="E416" t="s">
        <v>559</v>
      </c>
      <c r="F416" s="2" t="s">
        <v>578</v>
      </c>
      <c r="G416">
        <v>34</v>
      </c>
      <c r="H416">
        <v>34</v>
      </c>
      <c r="I416" s="10">
        <v>1</v>
      </c>
    </row>
    <row r="417" spans="1:9" ht="30" x14ac:dyDescent="0.25">
      <c r="A417" s="11" t="s">
        <v>132</v>
      </c>
      <c r="B417">
        <v>2024</v>
      </c>
      <c r="C417" t="s">
        <v>628</v>
      </c>
      <c r="D417" t="s">
        <v>15</v>
      </c>
      <c r="E417" t="s">
        <v>559</v>
      </c>
      <c r="F417" s="2" t="s">
        <v>578</v>
      </c>
      <c r="G417">
        <v>34</v>
      </c>
      <c r="H417">
        <v>34</v>
      </c>
      <c r="I417" s="10">
        <v>1</v>
      </c>
    </row>
    <row r="418" spans="1:9" ht="30" x14ac:dyDescent="0.25">
      <c r="A418" s="11" t="s">
        <v>132</v>
      </c>
      <c r="B418">
        <v>2024</v>
      </c>
      <c r="C418" t="s">
        <v>629</v>
      </c>
      <c r="D418" t="s">
        <v>15</v>
      </c>
      <c r="E418" t="s">
        <v>559</v>
      </c>
      <c r="F418" s="2" t="s">
        <v>578</v>
      </c>
      <c r="G418">
        <v>34</v>
      </c>
      <c r="H418">
        <v>34</v>
      </c>
      <c r="I418" s="10">
        <v>1</v>
      </c>
    </row>
    <row r="419" spans="1:9" ht="30" x14ac:dyDescent="0.25">
      <c r="A419" s="11" t="s">
        <v>131</v>
      </c>
      <c r="B419">
        <v>2024</v>
      </c>
      <c r="C419" t="s">
        <v>626</v>
      </c>
      <c r="D419" t="s">
        <v>11</v>
      </c>
      <c r="E419" t="s">
        <v>184</v>
      </c>
      <c r="F419" s="2" t="s">
        <v>199</v>
      </c>
      <c r="G419">
        <v>39</v>
      </c>
      <c r="H419">
        <v>39</v>
      </c>
      <c r="I419" s="10">
        <v>1</v>
      </c>
    </row>
    <row r="420" spans="1:9" ht="30" x14ac:dyDescent="0.25">
      <c r="A420" s="11" t="s">
        <v>131</v>
      </c>
      <c r="B420">
        <v>2024</v>
      </c>
      <c r="C420" t="s">
        <v>627</v>
      </c>
      <c r="D420" t="s">
        <v>11</v>
      </c>
      <c r="E420" t="s">
        <v>184</v>
      </c>
      <c r="F420" s="2" t="s">
        <v>199</v>
      </c>
      <c r="G420">
        <v>39</v>
      </c>
      <c r="H420">
        <v>39</v>
      </c>
      <c r="I420" s="10">
        <v>1</v>
      </c>
    </row>
    <row r="421" spans="1:9" ht="30" x14ac:dyDescent="0.25">
      <c r="A421" s="11" t="s">
        <v>131</v>
      </c>
      <c r="B421">
        <v>2024</v>
      </c>
      <c r="C421" t="s">
        <v>628</v>
      </c>
      <c r="D421" t="s">
        <v>11</v>
      </c>
      <c r="E421" t="s">
        <v>184</v>
      </c>
      <c r="F421" s="2" t="s">
        <v>199</v>
      </c>
      <c r="G421">
        <v>38</v>
      </c>
      <c r="H421">
        <v>39</v>
      </c>
      <c r="I421" s="10">
        <v>0.97435897435897434</v>
      </c>
    </row>
    <row r="422" spans="1:9" ht="30" x14ac:dyDescent="0.25">
      <c r="A422" s="11" t="s">
        <v>131</v>
      </c>
      <c r="B422">
        <v>2024</v>
      </c>
      <c r="C422" t="s">
        <v>629</v>
      </c>
      <c r="D422" t="s">
        <v>11</v>
      </c>
      <c r="E422" t="s">
        <v>184</v>
      </c>
      <c r="F422" s="2" t="s">
        <v>199</v>
      </c>
      <c r="G422">
        <v>36</v>
      </c>
      <c r="H422">
        <v>36</v>
      </c>
      <c r="I422" s="10">
        <v>1</v>
      </c>
    </row>
    <row r="423" spans="1:9" ht="30" x14ac:dyDescent="0.25">
      <c r="A423" s="11" t="s">
        <v>131</v>
      </c>
      <c r="B423">
        <v>2024</v>
      </c>
      <c r="C423" t="s">
        <v>626</v>
      </c>
      <c r="D423" t="s">
        <v>11</v>
      </c>
      <c r="E423" t="s">
        <v>20</v>
      </c>
      <c r="F423" s="2" t="s">
        <v>236</v>
      </c>
      <c r="G423">
        <v>0</v>
      </c>
      <c r="H423">
        <v>2</v>
      </c>
      <c r="I423" s="10">
        <v>0</v>
      </c>
    </row>
    <row r="424" spans="1:9" ht="30" x14ac:dyDescent="0.25">
      <c r="A424" s="11" t="s">
        <v>131</v>
      </c>
      <c r="B424">
        <v>2024</v>
      </c>
      <c r="C424" t="s">
        <v>627</v>
      </c>
      <c r="D424" t="s">
        <v>11</v>
      </c>
      <c r="E424" t="s">
        <v>20</v>
      </c>
      <c r="F424" s="2" t="s">
        <v>236</v>
      </c>
      <c r="G424">
        <v>1</v>
      </c>
      <c r="H424">
        <v>5</v>
      </c>
      <c r="I424" s="10">
        <v>0.2</v>
      </c>
    </row>
    <row r="425" spans="1:9" ht="30" x14ac:dyDescent="0.25">
      <c r="A425" s="11" t="s">
        <v>131</v>
      </c>
      <c r="B425">
        <v>2024</v>
      </c>
      <c r="C425" t="s">
        <v>628</v>
      </c>
      <c r="D425" t="s">
        <v>11</v>
      </c>
      <c r="E425" t="s">
        <v>20</v>
      </c>
      <c r="F425" s="2" t="s">
        <v>236</v>
      </c>
      <c r="G425">
        <v>4</v>
      </c>
      <c r="H425">
        <v>7</v>
      </c>
      <c r="I425" s="10">
        <v>0.5714285714285714</v>
      </c>
    </row>
    <row r="426" spans="1:9" ht="30" x14ac:dyDescent="0.25">
      <c r="A426" s="11" t="s">
        <v>131</v>
      </c>
      <c r="B426">
        <v>2024</v>
      </c>
      <c r="C426" t="s">
        <v>629</v>
      </c>
      <c r="D426" t="s">
        <v>11</v>
      </c>
      <c r="E426" t="s">
        <v>20</v>
      </c>
      <c r="F426" s="2" t="s">
        <v>236</v>
      </c>
      <c r="G426">
        <v>7</v>
      </c>
      <c r="H426">
        <v>10</v>
      </c>
      <c r="I426" s="10">
        <v>0.7</v>
      </c>
    </row>
    <row r="427" spans="1:9" ht="30" x14ac:dyDescent="0.25">
      <c r="A427" s="11" t="s">
        <v>131</v>
      </c>
      <c r="B427">
        <v>2024</v>
      </c>
      <c r="C427" t="s">
        <v>626</v>
      </c>
      <c r="D427" t="s">
        <v>11</v>
      </c>
      <c r="E427" t="s">
        <v>261</v>
      </c>
      <c r="F427" s="2" t="s">
        <v>262</v>
      </c>
      <c r="G427">
        <v>39</v>
      </c>
      <c r="H427">
        <v>39</v>
      </c>
      <c r="I427" s="10">
        <v>1</v>
      </c>
    </row>
    <row r="428" spans="1:9" ht="30" x14ac:dyDescent="0.25">
      <c r="A428" s="11" t="s">
        <v>131</v>
      </c>
      <c r="B428">
        <v>2024</v>
      </c>
      <c r="C428" t="s">
        <v>627</v>
      </c>
      <c r="D428" t="s">
        <v>11</v>
      </c>
      <c r="E428" t="s">
        <v>261</v>
      </c>
      <c r="F428" s="2" t="s">
        <v>262</v>
      </c>
      <c r="G428">
        <v>39</v>
      </c>
      <c r="H428">
        <v>39</v>
      </c>
      <c r="I428" s="10">
        <v>1</v>
      </c>
    </row>
    <row r="429" spans="1:9" ht="30" x14ac:dyDescent="0.25">
      <c r="A429" s="11" t="s">
        <v>131</v>
      </c>
      <c r="B429">
        <v>2024</v>
      </c>
      <c r="C429" t="s">
        <v>628</v>
      </c>
      <c r="D429" t="s">
        <v>11</v>
      </c>
      <c r="E429" t="s">
        <v>261</v>
      </c>
      <c r="F429" s="2" t="s">
        <v>262</v>
      </c>
      <c r="G429">
        <v>39</v>
      </c>
      <c r="H429">
        <v>39</v>
      </c>
      <c r="I429" s="10">
        <v>1</v>
      </c>
    </row>
    <row r="430" spans="1:9" ht="30" x14ac:dyDescent="0.25">
      <c r="A430" s="11" t="s">
        <v>131</v>
      </c>
      <c r="B430">
        <v>2024</v>
      </c>
      <c r="C430" t="s">
        <v>629</v>
      </c>
      <c r="D430" t="s">
        <v>11</v>
      </c>
      <c r="E430" t="s">
        <v>261</v>
      </c>
      <c r="F430" s="2" t="s">
        <v>262</v>
      </c>
      <c r="G430">
        <v>39</v>
      </c>
      <c r="H430">
        <v>39</v>
      </c>
      <c r="I430" s="10">
        <v>1</v>
      </c>
    </row>
    <row r="431" spans="1:9" ht="30" x14ac:dyDescent="0.25">
      <c r="A431" s="11" t="s">
        <v>131</v>
      </c>
      <c r="B431">
        <v>2024</v>
      </c>
      <c r="C431" t="s">
        <v>626</v>
      </c>
      <c r="D431" t="s">
        <v>11</v>
      </c>
      <c r="E431" t="s">
        <v>273</v>
      </c>
      <c r="F431" s="2" t="s">
        <v>274</v>
      </c>
      <c r="G431">
        <v>27</v>
      </c>
      <c r="H431">
        <v>39</v>
      </c>
      <c r="I431" s="10">
        <v>0.69230769230769229</v>
      </c>
    </row>
    <row r="432" spans="1:9" ht="30" x14ac:dyDescent="0.25">
      <c r="A432" s="11" t="s">
        <v>131</v>
      </c>
      <c r="B432">
        <v>2024</v>
      </c>
      <c r="C432" t="s">
        <v>627</v>
      </c>
      <c r="D432" t="s">
        <v>11</v>
      </c>
      <c r="E432" t="s">
        <v>273</v>
      </c>
      <c r="F432" s="2" t="s">
        <v>274</v>
      </c>
      <c r="G432">
        <v>23</v>
      </c>
      <c r="H432">
        <v>39</v>
      </c>
      <c r="I432" s="10">
        <v>0.58974358974358976</v>
      </c>
    </row>
    <row r="433" spans="1:9" ht="30" x14ac:dyDescent="0.25">
      <c r="A433" s="11" t="s">
        <v>131</v>
      </c>
      <c r="B433">
        <v>2024</v>
      </c>
      <c r="C433" t="s">
        <v>628</v>
      </c>
      <c r="D433" t="s">
        <v>11</v>
      </c>
      <c r="E433" t="s">
        <v>273</v>
      </c>
      <c r="F433" s="2" t="s">
        <v>274</v>
      </c>
      <c r="G433">
        <v>32</v>
      </c>
      <c r="H433">
        <v>40</v>
      </c>
      <c r="I433" s="10">
        <v>0.8</v>
      </c>
    </row>
    <row r="434" spans="1:9" ht="30" x14ac:dyDescent="0.25">
      <c r="A434" s="11" t="s">
        <v>131</v>
      </c>
      <c r="B434">
        <v>2024</v>
      </c>
      <c r="C434" t="s">
        <v>629</v>
      </c>
      <c r="D434" t="s">
        <v>11</v>
      </c>
      <c r="E434" t="s">
        <v>273</v>
      </c>
      <c r="F434" s="2" t="s">
        <v>274</v>
      </c>
      <c r="G434">
        <v>19</v>
      </c>
      <c r="H434">
        <v>37</v>
      </c>
      <c r="I434" s="10">
        <v>0.51351351351351349</v>
      </c>
    </row>
    <row r="435" spans="1:9" ht="30" x14ac:dyDescent="0.25">
      <c r="A435" s="11" t="s">
        <v>131</v>
      </c>
      <c r="B435">
        <v>2024</v>
      </c>
      <c r="C435" t="s">
        <v>626</v>
      </c>
      <c r="D435" t="s">
        <v>14</v>
      </c>
      <c r="E435" t="s">
        <v>315</v>
      </c>
      <c r="F435" s="2" t="s">
        <v>47</v>
      </c>
      <c r="G435">
        <v>235</v>
      </c>
      <c r="H435">
        <v>286</v>
      </c>
      <c r="I435" s="10">
        <v>0.82167832167832167</v>
      </c>
    </row>
    <row r="436" spans="1:9" ht="30" x14ac:dyDescent="0.25">
      <c r="A436" s="11" t="s">
        <v>131</v>
      </c>
      <c r="B436">
        <v>2024</v>
      </c>
      <c r="C436" t="s">
        <v>627</v>
      </c>
      <c r="D436" t="s">
        <v>14</v>
      </c>
      <c r="E436" t="s">
        <v>315</v>
      </c>
      <c r="F436" s="2" t="s">
        <v>47</v>
      </c>
      <c r="G436">
        <v>241</v>
      </c>
      <c r="H436">
        <v>327</v>
      </c>
      <c r="I436" s="10">
        <v>0.73700305810397548</v>
      </c>
    </row>
    <row r="437" spans="1:9" ht="30" x14ac:dyDescent="0.25">
      <c r="A437" s="11" t="s">
        <v>131</v>
      </c>
      <c r="B437">
        <v>2024</v>
      </c>
      <c r="C437" t="s">
        <v>628</v>
      </c>
      <c r="D437" t="s">
        <v>14</v>
      </c>
      <c r="E437" t="s">
        <v>315</v>
      </c>
      <c r="F437" s="2" t="s">
        <v>47</v>
      </c>
      <c r="G437">
        <v>251</v>
      </c>
      <c r="H437">
        <v>285</v>
      </c>
      <c r="I437" s="10">
        <v>0.88070175438596487</v>
      </c>
    </row>
    <row r="438" spans="1:9" ht="30" x14ac:dyDescent="0.25">
      <c r="A438" s="11" t="s">
        <v>131</v>
      </c>
      <c r="B438">
        <v>2024</v>
      </c>
      <c r="C438" t="s">
        <v>629</v>
      </c>
      <c r="D438" t="s">
        <v>14</v>
      </c>
      <c r="E438" t="s">
        <v>315</v>
      </c>
      <c r="F438" s="2" t="s">
        <v>47</v>
      </c>
      <c r="G438">
        <v>217</v>
      </c>
      <c r="H438">
        <v>301</v>
      </c>
      <c r="I438" s="10">
        <v>0.72093023255813948</v>
      </c>
    </row>
    <row r="439" spans="1:9" ht="30" x14ac:dyDescent="0.25">
      <c r="A439" s="11" t="s">
        <v>131</v>
      </c>
      <c r="B439">
        <v>2024</v>
      </c>
      <c r="C439" t="s">
        <v>626</v>
      </c>
      <c r="D439" t="s">
        <v>14</v>
      </c>
      <c r="E439" t="s">
        <v>353</v>
      </c>
      <c r="F439" s="2" t="s">
        <v>387</v>
      </c>
      <c r="G439">
        <v>1</v>
      </c>
      <c r="H439">
        <v>270</v>
      </c>
      <c r="I439" s="10">
        <v>3.7037037037037038E-3</v>
      </c>
    </row>
    <row r="440" spans="1:9" ht="30" x14ac:dyDescent="0.25">
      <c r="A440" s="11" t="s">
        <v>131</v>
      </c>
      <c r="B440">
        <v>2024</v>
      </c>
      <c r="C440" t="s">
        <v>627</v>
      </c>
      <c r="D440" t="s">
        <v>14</v>
      </c>
      <c r="E440" t="s">
        <v>353</v>
      </c>
      <c r="F440" s="2" t="s">
        <v>387</v>
      </c>
      <c r="G440">
        <v>7</v>
      </c>
      <c r="H440">
        <v>202</v>
      </c>
      <c r="I440" s="10">
        <v>3.4653465346534656E-2</v>
      </c>
    </row>
    <row r="441" spans="1:9" ht="30" x14ac:dyDescent="0.25">
      <c r="A441" s="11" t="s">
        <v>131</v>
      </c>
      <c r="B441">
        <v>2024</v>
      </c>
      <c r="C441" t="s">
        <v>628</v>
      </c>
      <c r="D441" t="s">
        <v>14</v>
      </c>
      <c r="E441" t="s">
        <v>353</v>
      </c>
      <c r="F441" s="2" t="s">
        <v>387</v>
      </c>
      <c r="G441">
        <v>1</v>
      </c>
      <c r="H441">
        <v>211</v>
      </c>
      <c r="I441" s="10">
        <v>4.7393364928909956E-3</v>
      </c>
    </row>
    <row r="442" spans="1:9" ht="30" x14ac:dyDescent="0.25">
      <c r="A442" s="11" t="s">
        <v>131</v>
      </c>
      <c r="B442">
        <v>2024</v>
      </c>
      <c r="C442" t="s">
        <v>629</v>
      </c>
      <c r="D442" t="s">
        <v>14</v>
      </c>
      <c r="E442" t="s">
        <v>353</v>
      </c>
      <c r="F442" s="2" t="s">
        <v>387</v>
      </c>
      <c r="G442">
        <v>2</v>
      </c>
      <c r="H442">
        <v>165</v>
      </c>
      <c r="I442" s="10">
        <v>1.2121212121212121E-2</v>
      </c>
    </row>
    <row r="443" spans="1:9" ht="30" x14ac:dyDescent="0.25">
      <c r="A443" s="11" t="s">
        <v>131</v>
      </c>
      <c r="B443">
        <v>2024</v>
      </c>
      <c r="C443" t="s">
        <v>626</v>
      </c>
      <c r="D443" t="s">
        <v>15</v>
      </c>
      <c r="E443" t="s">
        <v>559</v>
      </c>
      <c r="F443" s="2" t="s">
        <v>578</v>
      </c>
      <c r="G443">
        <v>34</v>
      </c>
      <c r="H443">
        <v>34</v>
      </c>
      <c r="I443" s="10">
        <v>1</v>
      </c>
    </row>
    <row r="444" spans="1:9" ht="30" x14ac:dyDescent="0.25">
      <c r="A444" s="11" t="s">
        <v>131</v>
      </c>
      <c r="B444">
        <v>2024</v>
      </c>
      <c r="C444" t="s">
        <v>627</v>
      </c>
      <c r="D444" t="s">
        <v>15</v>
      </c>
      <c r="E444" t="s">
        <v>559</v>
      </c>
      <c r="F444" s="2" t="s">
        <v>578</v>
      </c>
      <c r="G444">
        <v>34</v>
      </c>
      <c r="H444">
        <v>34</v>
      </c>
      <c r="I444" s="10">
        <v>1</v>
      </c>
    </row>
    <row r="445" spans="1:9" ht="30" x14ac:dyDescent="0.25">
      <c r="A445" s="11" t="s">
        <v>131</v>
      </c>
      <c r="B445">
        <v>2024</v>
      </c>
      <c r="C445" t="s">
        <v>628</v>
      </c>
      <c r="D445" t="s">
        <v>15</v>
      </c>
      <c r="E445" t="s">
        <v>559</v>
      </c>
      <c r="F445" s="2" t="s">
        <v>578</v>
      </c>
      <c r="G445">
        <v>34</v>
      </c>
      <c r="H445">
        <v>34</v>
      </c>
      <c r="I445" s="10">
        <v>1</v>
      </c>
    </row>
    <row r="446" spans="1:9" ht="30" x14ac:dyDescent="0.25">
      <c r="A446" s="11" t="s">
        <v>131</v>
      </c>
      <c r="B446">
        <v>2024</v>
      </c>
      <c r="C446" t="s">
        <v>629</v>
      </c>
      <c r="D446" t="s">
        <v>15</v>
      </c>
      <c r="E446" t="s">
        <v>559</v>
      </c>
      <c r="F446" s="2" t="s">
        <v>578</v>
      </c>
      <c r="G446">
        <v>33</v>
      </c>
      <c r="H446">
        <v>34</v>
      </c>
      <c r="I446" s="10">
        <v>0.97058823529411764</v>
      </c>
    </row>
    <row r="447" spans="1:9" ht="30" x14ac:dyDescent="0.25">
      <c r="A447" s="11" t="s">
        <v>160</v>
      </c>
      <c r="B447">
        <v>2024</v>
      </c>
      <c r="C447" t="s">
        <v>626</v>
      </c>
      <c r="D447" t="s">
        <v>11</v>
      </c>
      <c r="E447" t="s">
        <v>20</v>
      </c>
      <c r="F447" s="2" t="s">
        <v>236</v>
      </c>
      <c r="G447">
        <v>0</v>
      </c>
      <c r="H447">
        <v>0</v>
      </c>
    </row>
    <row r="448" spans="1:9" ht="30" x14ac:dyDescent="0.25">
      <c r="A448" s="11" t="s">
        <v>160</v>
      </c>
      <c r="B448">
        <v>2024</v>
      </c>
      <c r="C448" t="s">
        <v>627</v>
      </c>
      <c r="D448" t="s">
        <v>11</v>
      </c>
      <c r="E448" t="s">
        <v>20</v>
      </c>
      <c r="F448" s="2" t="s">
        <v>236</v>
      </c>
      <c r="G448">
        <v>0</v>
      </c>
      <c r="H448">
        <v>0</v>
      </c>
    </row>
    <row r="449" spans="1:9" ht="30" x14ac:dyDescent="0.25">
      <c r="A449" s="11" t="s">
        <v>160</v>
      </c>
      <c r="B449">
        <v>2024</v>
      </c>
      <c r="C449" t="s">
        <v>628</v>
      </c>
      <c r="D449" t="s">
        <v>11</v>
      </c>
      <c r="E449" t="s">
        <v>20</v>
      </c>
      <c r="F449" s="2" t="s">
        <v>236</v>
      </c>
      <c r="G449">
        <v>0</v>
      </c>
      <c r="H449">
        <v>0</v>
      </c>
    </row>
    <row r="450" spans="1:9" ht="30" x14ac:dyDescent="0.25">
      <c r="A450" s="11" t="s">
        <v>160</v>
      </c>
      <c r="B450">
        <v>2024</v>
      </c>
      <c r="C450" t="s">
        <v>629</v>
      </c>
      <c r="D450" t="s">
        <v>11</v>
      </c>
      <c r="E450" t="s">
        <v>20</v>
      </c>
      <c r="F450" s="2" t="s">
        <v>236</v>
      </c>
      <c r="G450">
        <v>0</v>
      </c>
      <c r="H450">
        <v>0</v>
      </c>
    </row>
    <row r="451" spans="1:9" ht="30" x14ac:dyDescent="0.25">
      <c r="A451" s="11" t="s">
        <v>160</v>
      </c>
      <c r="B451">
        <v>2024</v>
      </c>
      <c r="C451" t="s">
        <v>626</v>
      </c>
      <c r="D451" t="s">
        <v>11</v>
      </c>
      <c r="E451" t="s">
        <v>261</v>
      </c>
      <c r="F451" s="2" t="s">
        <v>262</v>
      </c>
      <c r="G451">
        <v>78</v>
      </c>
      <c r="H451">
        <v>78</v>
      </c>
      <c r="I451" s="10">
        <v>1</v>
      </c>
    </row>
    <row r="452" spans="1:9" ht="30" x14ac:dyDescent="0.25">
      <c r="A452" s="11" t="s">
        <v>160</v>
      </c>
      <c r="B452">
        <v>2024</v>
      </c>
      <c r="C452" t="s">
        <v>627</v>
      </c>
      <c r="D452" t="s">
        <v>11</v>
      </c>
      <c r="E452" t="s">
        <v>261</v>
      </c>
      <c r="F452" s="2" t="s">
        <v>262</v>
      </c>
      <c r="G452">
        <v>78</v>
      </c>
      <c r="H452">
        <v>78</v>
      </c>
      <c r="I452" s="10">
        <v>1</v>
      </c>
    </row>
    <row r="453" spans="1:9" ht="30" x14ac:dyDescent="0.25">
      <c r="A453" s="11" t="s">
        <v>160</v>
      </c>
      <c r="B453">
        <v>2024</v>
      </c>
      <c r="C453" t="s">
        <v>628</v>
      </c>
      <c r="D453" t="s">
        <v>11</v>
      </c>
      <c r="E453" t="s">
        <v>261</v>
      </c>
      <c r="F453" s="2" t="s">
        <v>262</v>
      </c>
      <c r="G453">
        <v>78</v>
      </c>
      <c r="H453">
        <v>78</v>
      </c>
      <c r="I453" s="10">
        <v>1</v>
      </c>
    </row>
    <row r="454" spans="1:9" ht="30" x14ac:dyDescent="0.25">
      <c r="A454" s="11" t="s">
        <v>160</v>
      </c>
      <c r="B454">
        <v>2024</v>
      </c>
      <c r="C454" t="s">
        <v>629</v>
      </c>
      <c r="D454" t="s">
        <v>11</v>
      </c>
      <c r="E454" t="s">
        <v>261</v>
      </c>
      <c r="F454" s="2" t="s">
        <v>262</v>
      </c>
      <c r="G454">
        <v>78</v>
      </c>
      <c r="H454">
        <v>78</v>
      </c>
      <c r="I454" s="10">
        <v>1</v>
      </c>
    </row>
    <row r="455" spans="1:9" ht="30" x14ac:dyDescent="0.25">
      <c r="A455" s="11" t="s">
        <v>160</v>
      </c>
      <c r="B455">
        <v>2024</v>
      </c>
      <c r="C455" t="s">
        <v>626</v>
      </c>
      <c r="D455" t="s">
        <v>11</v>
      </c>
      <c r="E455" t="s">
        <v>273</v>
      </c>
      <c r="F455" s="2" t="s">
        <v>274</v>
      </c>
      <c r="G455">
        <v>39</v>
      </c>
      <c r="H455">
        <v>39</v>
      </c>
      <c r="I455" s="10">
        <v>1</v>
      </c>
    </row>
    <row r="456" spans="1:9" ht="30" x14ac:dyDescent="0.25">
      <c r="A456" s="11" t="s">
        <v>160</v>
      </c>
      <c r="B456">
        <v>2024</v>
      </c>
      <c r="C456" t="s">
        <v>627</v>
      </c>
      <c r="D456" t="s">
        <v>11</v>
      </c>
      <c r="E456" t="s">
        <v>273</v>
      </c>
      <c r="F456" s="2" t="s">
        <v>274</v>
      </c>
      <c r="G456">
        <v>34</v>
      </c>
      <c r="H456">
        <v>9</v>
      </c>
      <c r="I456" s="10">
        <v>3.7777777777777777</v>
      </c>
    </row>
    <row r="457" spans="1:9" ht="30" x14ac:dyDescent="0.25">
      <c r="A457" s="11" t="s">
        <v>160</v>
      </c>
      <c r="B457">
        <v>2024</v>
      </c>
      <c r="C457" t="s">
        <v>628</v>
      </c>
      <c r="D457" t="s">
        <v>11</v>
      </c>
      <c r="E457" t="s">
        <v>273</v>
      </c>
      <c r="F457" s="2" t="s">
        <v>274</v>
      </c>
      <c r="G457">
        <v>38</v>
      </c>
      <c r="H457">
        <v>39</v>
      </c>
      <c r="I457" s="10">
        <v>0.97435897435897434</v>
      </c>
    </row>
    <row r="458" spans="1:9" ht="30" x14ac:dyDescent="0.25">
      <c r="A458" s="11" t="s">
        <v>160</v>
      </c>
      <c r="B458">
        <v>2024</v>
      </c>
      <c r="C458" t="s">
        <v>629</v>
      </c>
      <c r="D458" t="s">
        <v>11</v>
      </c>
      <c r="E458" t="s">
        <v>273</v>
      </c>
      <c r="F458" s="2" t="s">
        <v>274</v>
      </c>
      <c r="G458">
        <v>39</v>
      </c>
      <c r="H458">
        <v>39</v>
      </c>
      <c r="I458" s="10">
        <v>1</v>
      </c>
    </row>
    <row r="459" spans="1:9" ht="30" x14ac:dyDescent="0.25">
      <c r="A459" s="11" t="s">
        <v>160</v>
      </c>
      <c r="B459">
        <v>2024</v>
      </c>
      <c r="C459" t="s">
        <v>626</v>
      </c>
      <c r="D459" t="s">
        <v>14</v>
      </c>
      <c r="E459" t="s">
        <v>315</v>
      </c>
      <c r="F459" s="2" t="s">
        <v>346</v>
      </c>
      <c r="G459">
        <v>106</v>
      </c>
      <c r="H459">
        <v>406</v>
      </c>
      <c r="I459" s="10">
        <v>0.26108374384236455</v>
      </c>
    </row>
    <row r="460" spans="1:9" ht="30" x14ac:dyDescent="0.25">
      <c r="A460" s="11" t="s">
        <v>160</v>
      </c>
      <c r="B460">
        <v>2024</v>
      </c>
      <c r="C460" t="s">
        <v>627</v>
      </c>
      <c r="D460" t="s">
        <v>14</v>
      </c>
      <c r="E460" t="s">
        <v>315</v>
      </c>
      <c r="F460" s="2" t="s">
        <v>346</v>
      </c>
      <c r="G460">
        <v>95</v>
      </c>
      <c r="H460">
        <v>98</v>
      </c>
      <c r="I460" s="10">
        <v>0.96938775510204078</v>
      </c>
    </row>
    <row r="461" spans="1:9" ht="30" x14ac:dyDescent="0.25">
      <c r="A461" s="11" t="s">
        <v>160</v>
      </c>
      <c r="B461">
        <v>2024</v>
      </c>
      <c r="C461" t="s">
        <v>628</v>
      </c>
      <c r="D461" t="s">
        <v>14</v>
      </c>
      <c r="E461" t="s">
        <v>315</v>
      </c>
      <c r="F461" s="2" t="s">
        <v>346</v>
      </c>
      <c r="G461">
        <v>105</v>
      </c>
      <c r="H461">
        <v>110</v>
      </c>
      <c r="I461" s="10">
        <v>0.95454545454545459</v>
      </c>
    </row>
    <row r="462" spans="1:9" ht="30" x14ac:dyDescent="0.25">
      <c r="A462" s="11" t="s">
        <v>160</v>
      </c>
      <c r="B462">
        <v>2024</v>
      </c>
      <c r="C462" t="s">
        <v>629</v>
      </c>
      <c r="D462" t="s">
        <v>14</v>
      </c>
      <c r="E462" t="s">
        <v>315</v>
      </c>
      <c r="F462" s="2" t="s">
        <v>346</v>
      </c>
      <c r="G462">
        <v>85</v>
      </c>
      <c r="H462">
        <v>99</v>
      </c>
      <c r="I462" s="10">
        <v>0.85858585858585856</v>
      </c>
    </row>
    <row r="463" spans="1:9" ht="30" x14ac:dyDescent="0.25">
      <c r="A463" s="11" t="s">
        <v>160</v>
      </c>
      <c r="B463">
        <v>2024</v>
      </c>
      <c r="C463" t="s">
        <v>626</v>
      </c>
      <c r="D463" t="s">
        <v>14</v>
      </c>
      <c r="E463" t="s">
        <v>353</v>
      </c>
      <c r="F463" s="2" t="s">
        <v>392</v>
      </c>
      <c r="G463">
        <v>88</v>
      </c>
      <c r="H463">
        <v>106</v>
      </c>
      <c r="I463" s="10">
        <v>0.83018867924528306</v>
      </c>
    </row>
    <row r="464" spans="1:9" ht="30" x14ac:dyDescent="0.25">
      <c r="A464" s="11" t="s">
        <v>160</v>
      </c>
      <c r="B464">
        <v>2024</v>
      </c>
      <c r="C464" t="s">
        <v>627</v>
      </c>
      <c r="D464" t="s">
        <v>14</v>
      </c>
      <c r="E464" t="s">
        <v>353</v>
      </c>
      <c r="F464" s="2" t="s">
        <v>392</v>
      </c>
      <c r="G464">
        <v>52</v>
      </c>
      <c r="H464">
        <v>98</v>
      </c>
      <c r="I464" s="10">
        <v>0.53061224489795922</v>
      </c>
    </row>
    <row r="465" spans="1:9" ht="30" x14ac:dyDescent="0.25">
      <c r="A465" s="11" t="s">
        <v>160</v>
      </c>
      <c r="B465">
        <v>2024</v>
      </c>
      <c r="C465" t="s">
        <v>628</v>
      </c>
      <c r="D465" t="s">
        <v>14</v>
      </c>
      <c r="E465" t="s">
        <v>353</v>
      </c>
      <c r="F465" s="2" t="s">
        <v>392</v>
      </c>
      <c r="G465">
        <v>77</v>
      </c>
      <c r="H465">
        <v>110</v>
      </c>
      <c r="I465" s="10">
        <v>0.7</v>
      </c>
    </row>
    <row r="466" spans="1:9" ht="30" x14ac:dyDescent="0.25">
      <c r="A466" s="11" t="s">
        <v>160</v>
      </c>
      <c r="B466">
        <v>2024</v>
      </c>
      <c r="C466" t="s">
        <v>629</v>
      </c>
      <c r="D466" t="s">
        <v>14</v>
      </c>
      <c r="E466" t="s">
        <v>353</v>
      </c>
      <c r="F466" s="2" t="s">
        <v>392</v>
      </c>
      <c r="G466">
        <v>75</v>
      </c>
      <c r="H466">
        <v>99</v>
      </c>
      <c r="I466" s="10">
        <v>0.75757575757575757</v>
      </c>
    </row>
    <row r="467" spans="1:9" ht="30" x14ac:dyDescent="0.25">
      <c r="A467" s="11" t="s">
        <v>160</v>
      </c>
      <c r="B467">
        <v>2024</v>
      </c>
      <c r="C467" t="s">
        <v>139</v>
      </c>
      <c r="D467" t="s">
        <v>11</v>
      </c>
      <c r="E467" t="s">
        <v>184</v>
      </c>
      <c r="F467" s="2" t="s">
        <v>203</v>
      </c>
      <c r="G467">
        <v>5</v>
      </c>
      <c r="H467">
        <v>6</v>
      </c>
      <c r="I467" s="10">
        <v>0.83333333333333337</v>
      </c>
    </row>
    <row r="468" spans="1:9" ht="30" x14ac:dyDescent="0.25">
      <c r="A468" s="11" t="s">
        <v>160</v>
      </c>
      <c r="B468">
        <v>2024</v>
      </c>
      <c r="C468" t="s">
        <v>140</v>
      </c>
      <c r="D468" t="s">
        <v>11</v>
      </c>
      <c r="E468" t="s">
        <v>184</v>
      </c>
      <c r="F468" s="2" t="s">
        <v>203</v>
      </c>
      <c r="G468">
        <v>12</v>
      </c>
      <c r="H468">
        <v>12</v>
      </c>
      <c r="I468" s="10">
        <v>1</v>
      </c>
    </row>
    <row r="469" spans="1:9" ht="30" x14ac:dyDescent="0.25">
      <c r="A469" s="11" t="s">
        <v>160</v>
      </c>
      <c r="B469">
        <v>2024</v>
      </c>
      <c r="C469" t="s">
        <v>626</v>
      </c>
      <c r="D469" t="s">
        <v>11</v>
      </c>
      <c r="E469" t="s">
        <v>184</v>
      </c>
      <c r="F469" s="2" t="s">
        <v>203</v>
      </c>
      <c r="G469">
        <v>7</v>
      </c>
      <c r="H469">
        <v>7</v>
      </c>
      <c r="I469" s="10">
        <v>1</v>
      </c>
    </row>
    <row r="470" spans="1:9" ht="30" x14ac:dyDescent="0.25">
      <c r="A470" s="11" t="s">
        <v>160</v>
      </c>
      <c r="B470">
        <v>2024</v>
      </c>
      <c r="C470" t="s">
        <v>630</v>
      </c>
      <c r="D470" t="s">
        <v>11</v>
      </c>
      <c r="E470" t="s">
        <v>184</v>
      </c>
      <c r="F470" s="2" t="s">
        <v>203</v>
      </c>
      <c r="G470">
        <v>9</v>
      </c>
      <c r="H470">
        <v>9</v>
      </c>
      <c r="I470" s="10">
        <v>1</v>
      </c>
    </row>
    <row r="471" spans="1:9" ht="30" x14ac:dyDescent="0.25">
      <c r="A471" s="11" t="s">
        <v>160</v>
      </c>
      <c r="B471">
        <v>2024</v>
      </c>
      <c r="C471" t="s">
        <v>142</v>
      </c>
      <c r="D471" t="s">
        <v>11</v>
      </c>
      <c r="E471" t="s">
        <v>184</v>
      </c>
      <c r="F471" s="2" t="s">
        <v>203</v>
      </c>
      <c r="G471">
        <v>8</v>
      </c>
      <c r="H471">
        <v>8</v>
      </c>
      <c r="I471" s="10">
        <v>1</v>
      </c>
    </row>
    <row r="472" spans="1:9" ht="30" x14ac:dyDescent="0.25">
      <c r="A472" s="11" t="s">
        <v>160</v>
      </c>
      <c r="B472">
        <v>2024</v>
      </c>
      <c r="C472" t="s">
        <v>627</v>
      </c>
      <c r="D472" t="s">
        <v>11</v>
      </c>
      <c r="E472" t="s">
        <v>184</v>
      </c>
      <c r="F472" s="2" t="s">
        <v>203</v>
      </c>
      <c r="G472">
        <v>9</v>
      </c>
      <c r="H472">
        <v>10</v>
      </c>
      <c r="I472" s="10">
        <v>0.9</v>
      </c>
    </row>
    <row r="473" spans="1:9" ht="30" x14ac:dyDescent="0.25">
      <c r="A473" s="11" t="s">
        <v>160</v>
      </c>
      <c r="B473">
        <v>2024</v>
      </c>
      <c r="C473" t="s">
        <v>631</v>
      </c>
      <c r="D473" t="s">
        <v>11</v>
      </c>
      <c r="E473" t="s">
        <v>184</v>
      </c>
      <c r="F473" s="2" t="s">
        <v>203</v>
      </c>
      <c r="G473">
        <v>9</v>
      </c>
      <c r="H473">
        <v>9</v>
      </c>
      <c r="I473" s="10">
        <v>1</v>
      </c>
    </row>
    <row r="474" spans="1:9" ht="30" x14ac:dyDescent="0.25">
      <c r="A474" s="11" t="s">
        <v>160</v>
      </c>
      <c r="B474">
        <v>2024</v>
      </c>
      <c r="C474" t="s">
        <v>632</v>
      </c>
      <c r="D474" t="s">
        <v>11</v>
      </c>
      <c r="E474" t="s">
        <v>184</v>
      </c>
      <c r="F474" s="2" t="s">
        <v>203</v>
      </c>
      <c r="G474">
        <v>9</v>
      </c>
      <c r="H474">
        <v>9</v>
      </c>
      <c r="I474" s="10">
        <v>1</v>
      </c>
    </row>
    <row r="475" spans="1:9" ht="30" x14ac:dyDescent="0.25">
      <c r="A475" s="11" t="s">
        <v>160</v>
      </c>
      <c r="B475">
        <v>2024</v>
      </c>
      <c r="C475" t="s">
        <v>628</v>
      </c>
      <c r="D475" t="s">
        <v>11</v>
      </c>
      <c r="E475" t="s">
        <v>184</v>
      </c>
      <c r="F475" s="2" t="s">
        <v>203</v>
      </c>
      <c r="G475">
        <v>7</v>
      </c>
      <c r="H475">
        <v>10</v>
      </c>
      <c r="I475" s="10">
        <v>0.7</v>
      </c>
    </row>
    <row r="476" spans="1:9" ht="30" x14ac:dyDescent="0.25">
      <c r="A476" s="11" t="s">
        <v>160</v>
      </c>
      <c r="B476">
        <v>2024</v>
      </c>
      <c r="C476" t="s">
        <v>633</v>
      </c>
      <c r="D476" t="s">
        <v>11</v>
      </c>
      <c r="E476" t="s">
        <v>184</v>
      </c>
      <c r="F476" s="2" t="s">
        <v>203</v>
      </c>
      <c r="G476">
        <v>6</v>
      </c>
      <c r="H476">
        <v>10</v>
      </c>
      <c r="I476" s="10">
        <v>0.6</v>
      </c>
    </row>
    <row r="477" spans="1:9" ht="30" x14ac:dyDescent="0.25">
      <c r="A477" s="11" t="s">
        <v>160</v>
      </c>
      <c r="B477">
        <v>2024</v>
      </c>
      <c r="C477" t="s">
        <v>634</v>
      </c>
      <c r="D477" t="s">
        <v>11</v>
      </c>
      <c r="E477" t="s">
        <v>184</v>
      </c>
      <c r="F477" s="2" t="s">
        <v>203</v>
      </c>
      <c r="G477">
        <v>9</v>
      </c>
      <c r="H477">
        <v>11</v>
      </c>
      <c r="I477" s="10">
        <v>0.81818181818181823</v>
      </c>
    </row>
    <row r="478" spans="1:9" ht="30" x14ac:dyDescent="0.25">
      <c r="A478" s="11" t="s">
        <v>160</v>
      </c>
      <c r="B478">
        <v>2024</v>
      </c>
      <c r="C478" t="s">
        <v>629</v>
      </c>
      <c r="D478" t="s">
        <v>11</v>
      </c>
      <c r="E478" t="s">
        <v>184</v>
      </c>
      <c r="F478" s="2" t="s">
        <v>203</v>
      </c>
      <c r="G478">
        <v>7</v>
      </c>
      <c r="H478">
        <v>9</v>
      </c>
      <c r="I478" s="10">
        <v>0.77777777777777779</v>
      </c>
    </row>
    <row r="479" spans="1:9" ht="30" x14ac:dyDescent="0.25">
      <c r="A479" s="11" t="s">
        <v>150</v>
      </c>
      <c r="B479">
        <v>2024</v>
      </c>
      <c r="C479" t="s">
        <v>626</v>
      </c>
      <c r="D479" t="s">
        <v>11</v>
      </c>
      <c r="E479" t="s">
        <v>184</v>
      </c>
      <c r="F479" s="2" t="s">
        <v>193</v>
      </c>
      <c r="G479">
        <v>44</v>
      </c>
      <c r="H479">
        <v>44</v>
      </c>
      <c r="I479" s="10">
        <v>1</v>
      </c>
    </row>
    <row r="480" spans="1:9" ht="30" x14ac:dyDescent="0.25">
      <c r="A480" s="11" t="s">
        <v>150</v>
      </c>
      <c r="B480">
        <v>2024</v>
      </c>
      <c r="C480" t="s">
        <v>627</v>
      </c>
      <c r="D480" t="s">
        <v>11</v>
      </c>
      <c r="E480" t="s">
        <v>184</v>
      </c>
      <c r="F480" s="2" t="s">
        <v>193</v>
      </c>
      <c r="G480">
        <v>35</v>
      </c>
      <c r="H480">
        <v>35</v>
      </c>
      <c r="I480" s="10">
        <v>1</v>
      </c>
    </row>
    <row r="481" spans="1:9" ht="30" x14ac:dyDescent="0.25">
      <c r="A481" s="11" t="s">
        <v>150</v>
      </c>
      <c r="B481">
        <v>2024</v>
      </c>
      <c r="C481" t="s">
        <v>628</v>
      </c>
      <c r="D481" t="s">
        <v>11</v>
      </c>
      <c r="E481" t="s">
        <v>184</v>
      </c>
      <c r="F481" s="2" t="s">
        <v>193</v>
      </c>
      <c r="G481">
        <v>53</v>
      </c>
      <c r="H481">
        <v>53</v>
      </c>
      <c r="I481" s="10">
        <v>1</v>
      </c>
    </row>
    <row r="482" spans="1:9" ht="30" x14ac:dyDescent="0.25">
      <c r="A482" s="11" t="s">
        <v>150</v>
      </c>
      <c r="B482">
        <v>2024</v>
      </c>
      <c r="C482" t="s">
        <v>629</v>
      </c>
      <c r="D482" t="s">
        <v>11</v>
      </c>
      <c r="E482" t="s">
        <v>184</v>
      </c>
      <c r="F482" s="2" t="s">
        <v>193</v>
      </c>
      <c r="G482">
        <v>36</v>
      </c>
      <c r="H482">
        <v>37</v>
      </c>
      <c r="I482" s="10">
        <v>0.97297297297297303</v>
      </c>
    </row>
    <row r="483" spans="1:9" ht="30" x14ac:dyDescent="0.25">
      <c r="A483" s="11" t="s">
        <v>150</v>
      </c>
      <c r="B483">
        <v>2024</v>
      </c>
      <c r="C483" t="s">
        <v>626</v>
      </c>
      <c r="D483" t="s">
        <v>11</v>
      </c>
      <c r="E483" t="s">
        <v>261</v>
      </c>
      <c r="F483" s="2" t="s">
        <v>262</v>
      </c>
      <c r="G483">
        <v>98</v>
      </c>
      <c r="H483">
        <v>98</v>
      </c>
      <c r="I483" s="10">
        <v>1</v>
      </c>
    </row>
    <row r="484" spans="1:9" ht="30" x14ac:dyDescent="0.25">
      <c r="A484" s="11" t="s">
        <v>150</v>
      </c>
      <c r="B484">
        <v>2024</v>
      </c>
      <c r="C484" t="s">
        <v>627</v>
      </c>
      <c r="D484" t="s">
        <v>11</v>
      </c>
      <c r="E484" t="s">
        <v>261</v>
      </c>
      <c r="F484" s="2" t="s">
        <v>262</v>
      </c>
      <c r="G484">
        <v>104</v>
      </c>
      <c r="H484">
        <v>104</v>
      </c>
      <c r="I484" s="10">
        <v>1</v>
      </c>
    </row>
    <row r="485" spans="1:9" ht="30" x14ac:dyDescent="0.25">
      <c r="A485" s="11" t="s">
        <v>150</v>
      </c>
      <c r="B485">
        <v>2024</v>
      </c>
      <c r="C485" t="s">
        <v>628</v>
      </c>
      <c r="D485" t="s">
        <v>11</v>
      </c>
      <c r="E485" t="s">
        <v>261</v>
      </c>
      <c r="F485" s="2" t="s">
        <v>262</v>
      </c>
      <c r="G485">
        <v>101</v>
      </c>
      <c r="H485">
        <v>104</v>
      </c>
      <c r="I485" s="10">
        <v>0.97115384615384615</v>
      </c>
    </row>
    <row r="486" spans="1:9" ht="30" x14ac:dyDescent="0.25">
      <c r="A486" s="11" t="s">
        <v>150</v>
      </c>
      <c r="B486">
        <v>2024</v>
      </c>
      <c r="C486" t="s">
        <v>629</v>
      </c>
      <c r="D486" t="s">
        <v>11</v>
      </c>
      <c r="E486" t="s">
        <v>261</v>
      </c>
      <c r="F486" s="2" t="s">
        <v>262</v>
      </c>
      <c r="G486">
        <v>96</v>
      </c>
      <c r="H486">
        <v>96</v>
      </c>
      <c r="I486" s="10">
        <v>1</v>
      </c>
    </row>
    <row r="487" spans="1:9" ht="30" x14ac:dyDescent="0.25">
      <c r="A487" s="11" t="s">
        <v>150</v>
      </c>
      <c r="B487">
        <v>2024</v>
      </c>
      <c r="C487" t="s">
        <v>626</v>
      </c>
      <c r="D487" t="s">
        <v>15</v>
      </c>
      <c r="E487" t="s">
        <v>34</v>
      </c>
      <c r="F487" s="2" t="s">
        <v>607</v>
      </c>
      <c r="G487">
        <v>48</v>
      </c>
      <c r="H487">
        <v>48</v>
      </c>
      <c r="I487" s="10">
        <v>1</v>
      </c>
    </row>
    <row r="488" spans="1:9" ht="30" x14ac:dyDescent="0.25">
      <c r="A488" s="11" t="s">
        <v>150</v>
      </c>
      <c r="B488">
        <v>2024</v>
      </c>
      <c r="C488" t="s">
        <v>627</v>
      </c>
      <c r="D488" t="s">
        <v>15</v>
      </c>
      <c r="E488" t="s">
        <v>34</v>
      </c>
      <c r="F488" s="2" t="s">
        <v>607</v>
      </c>
      <c r="G488">
        <v>51</v>
      </c>
      <c r="H488">
        <v>51</v>
      </c>
      <c r="I488" s="10">
        <v>1</v>
      </c>
    </row>
    <row r="489" spans="1:9" ht="30" x14ac:dyDescent="0.25">
      <c r="A489" s="11" t="s">
        <v>150</v>
      </c>
      <c r="B489">
        <v>2024</v>
      </c>
      <c r="C489" t="s">
        <v>628</v>
      </c>
      <c r="D489" t="s">
        <v>15</v>
      </c>
      <c r="E489" t="s">
        <v>34</v>
      </c>
      <c r="F489" s="2" t="s">
        <v>607</v>
      </c>
      <c r="G489">
        <v>55</v>
      </c>
      <c r="H489">
        <v>55</v>
      </c>
      <c r="I489" s="10">
        <v>1</v>
      </c>
    </row>
    <row r="490" spans="1:9" ht="30" x14ac:dyDescent="0.25">
      <c r="A490" s="11" t="s">
        <v>150</v>
      </c>
      <c r="B490">
        <v>2024</v>
      </c>
      <c r="C490" t="s">
        <v>629</v>
      </c>
      <c r="D490" t="s">
        <v>15</v>
      </c>
      <c r="E490" t="s">
        <v>34</v>
      </c>
      <c r="F490" s="2" t="s">
        <v>607</v>
      </c>
      <c r="G490">
        <v>47</v>
      </c>
      <c r="H490">
        <v>47</v>
      </c>
      <c r="I490" s="10">
        <v>1</v>
      </c>
    </row>
    <row r="491" spans="1:9" ht="30" x14ac:dyDescent="0.25">
      <c r="A491" s="11" t="s">
        <v>150</v>
      </c>
      <c r="B491">
        <v>2024</v>
      </c>
      <c r="C491" t="s">
        <v>139</v>
      </c>
      <c r="D491" t="s">
        <v>11</v>
      </c>
      <c r="E491" t="s">
        <v>21</v>
      </c>
      <c r="F491" s="2" t="s">
        <v>247</v>
      </c>
      <c r="G491">
        <v>25</v>
      </c>
      <c r="H491">
        <v>25</v>
      </c>
      <c r="I491" s="10">
        <v>1</v>
      </c>
    </row>
    <row r="492" spans="1:9" ht="30" x14ac:dyDescent="0.25">
      <c r="A492" s="11" t="s">
        <v>150</v>
      </c>
      <c r="B492">
        <v>2024</v>
      </c>
      <c r="C492" t="s">
        <v>140</v>
      </c>
      <c r="D492" t="s">
        <v>11</v>
      </c>
      <c r="E492" t="s">
        <v>21</v>
      </c>
      <c r="F492" s="2" t="s">
        <v>247</v>
      </c>
      <c r="G492">
        <v>12</v>
      </c>
      <c r="H492">
        <v>12</v>
      </c>
      <c r="I492" s="10">
        <v>1</v>
      </c>
    </row>
    <row r="493" spans="1:9" ht="30" x14ac:dyDescent="0.25">
      <c r="A493" s="11" t="s">
        <v>150</v>
      </c>
      <c r="B493">
        <v>2024</v>
      </c>
      <c r="C493" t="s">
        <v>626</v>
      </c>
      <c r="D493" t="s">
        <v>11</v>
      </c>
      <c r="E493" t="s">
        <v>21</v>
      </c>
      <c r="F493" s="2" t="s">
        <v>247</v>
      </c>
      <c r="G493">
        <v>20</v>
      </c>
      <c r="H493">
        <v>20</v>
      </c>
      <c r="I493" s="10">
        <v>1</v>
      </c>
    </row>
    <row r="494" spans="1:9" ht="30" x14ac:dyDescent="0.25">
      <c r="A494" s="11" t="s">
        <v>150</v>
      </c>
      <c r="B494">
        <v>2024</v>
      </c>
      <c r="C494" t="s">
        <v>630</v>
      </c>
      <c r="D494" t="s">
        <v>11</v>
      </c>
      <c r="E494" t="s">
        <v>21</v>
      </c>
      <c r="F494" s="2" t="s">
        <v>247</v>
      </c>
      <c r="G494">
        <v>25</v>
      </c>
      <c r="H494">
        <v>25</v>
      </c>
      <c r="I494" s="10">
        <v>1</v>
      </c>
    </row>
    <row r="495" spans="1:9" ht="30" x14ac:dyDescent="0.25">
      <c r="A495" s="11" t="s">
        <v>150</v>
      </c>
      <c r="B495">
        <v>2024</v>
      </c>
      <c r="C495" t="s">
        <v>142</v>
      </c>
      <c r="D495" t="s">
        <v>11</v>
      </c>
      <c r="E495" t="s">
        <v>21</v>
      </c>
      <c r="F495" s="2" t="s">
        <v>247</v>
      </c>
      <c r="G495">
        <v>11</v>
      </c>
      <c r="H495">
        <v>11</v>
      </c>
      <c r="I495" s="10">
        <v>1</v>
      </c>
    </row>
    <row r="496" spans="1:9" ht="30" x14ac:dyDescent="0.25">
      <c r="A496" s="11" t="s">
        <v>150</v>
      </c>
      <c r="B496">
        <v>2024</v>
      </c>
      <c r="C496" t="s">
        <v>627</v>
      </c>
      <c r="D496" t="s">
        <v>11</v>
      </c>
      <c r="E496" t="s">
        <v>21</v>
      </c>
      <c r="F496" s="2" t="s">
        <v>247</v>
      </c>
      <c r="G496">
        <v>10</v>
      </c>
      <c r="H496">
        <v>10</v>
      </c>
      <c r="I496" s="10">
        <v>1</v>
      </c>
    </row>
    <row r="497" spans="1:9" ht="30" x14ac:dyDescent="0.25">
      <c r="A497" s="11" t="s">
        <v>150</v>
      </c>
      <c r="B497">
        <v>2024</v>
      </c>
      <c r="C497" t="s">
        <v>631</v>
      </c>
      <c r="D497" t="s">
        <v>11</v>
      </c>
      <c r="E497" t="s">
        <v>21</v>
      </c>
      <c r="F497" s="2" t="s">
        <v>247</v>
      </c>
      <c r="G497">
        <v>18</v>
      </c>
      <c r="H497">
        <v>20</v>
      </c>
      <c r="I497" s="10">
        <v>0.9</v>
      </c>
    </row>
    <row r="498" spans="1:9" ht="30" x14ac:dyDescent="0.25">
      <c r="A498" s="11" t="s">
        <v>150</v>
      </c>
      <c r="B498">
        <v>2024</v>
      </c>
      <c r="C498" t="s">
        <v>632</v>
      </c>
      <c r="D498" t="s">
        <v>11</v>
      </c>
      <c r="E498" t="s">
        <v>21</v>
      </c>
      <c r="F498" s="2" t="s">
        <v>247</v>
      </c>
      <c r="G498">
        <v>26</v>
      </c>
      <c r="H498">
        <v>27</v>
      </c>
      <c r="I498" s="10">
        <v>0.96296296296296291</v>
      </c>
    </row>
    <row r="499" spans="1:9" ht="30" x14ac:dyDescent="0.25">
      <c r="A499" s="11" t="s">
        <v>150</v>
      </c>
      <c r="B499">
        <v>2024</v>
      </c>
      <c r="C499" t="s">
        <v>628</v>
      </c>
      <c r="D499" t="s">
        <v>11</v>
      </c>
      <c r="E499" t="s">
        <v>21</v>
      </c>
      <c r="F499" s="2" t="s">
        <v>247</v>
      </c>
      <c r="G499">
        <v>22</v>
      </c>
      <c r="H499">
        <v>22</v>
      </c>
      <c r="I499" s="10">
        <v>1</v>
      </c>
    </row>
    <row r="500" spans="1:9" ht="30" x14ac:dyDescent="0.25">
      <c r="A500" s="11" t="s">
        <v>150</v>
      </c>
      <c r="B500">
        <v>2024</v>
      </c>
      <c r="C500" t="s">
        <v>633</v>
      </c>
      <c r="D500" t="s">
        <v>11</v>
      </c>
      <c r="E500" t="s">
        <v>21</v>
      </c>
      <c r="F500" s="2" t="s">
        <v>247</v>
      </c>
      <c r="G500">
        <v>16</v>
      </c>
      <c r="H500">
        <v>16</v>
      </c>
      <c r="I500" s="10">
        <v>1</v>
      </c>
    </row>
    <row r="501" spans="1:9" ht="30" x14ac:dyDescent="0.25">
      <c r="A501" s="11" t="s">
        <v>150</v>
      </c>
      <c r="B501">
        <v>2024</v>
      </c>
      <c r="C501" t="s">
        <v>634</v>
      </c>
      <c r="D501" t="s">
        <v>11</v>
      </c>
      <c r="E501" t="s">
        <v>21</v>
      </c>
      <c r="F501" s="2" t="s">
        <v>247</v>
      </c>
      <c r="G501">
        <v>17</v>
      </c>
      <c r="H501">
        <v>17</v>
      </c>
      <c r="I501" s="10">
        <v>1</v>
      </c>
    </row>
    <row r="502" spans="1:9" ht="30" x14ac:dyDescent="0.25">
      <c r="A502" s="11" t="s">
        <v>150</v>
      </c>
      <c r="B502">
        <v>2024</v>
      </c>
      <c r="C502" t="s">
        <v>629</v>
      </c>
      <c r="D502" t="s">
        <v>11</v>
      </c>
      <c r="E502" t="s">
        <v>21</v>
      </c>
      <c r="F502" s="2" t="s">
        <v>247</v>
      </c>
      <c r="G502">
        <v>20</v>
      </c>
      <c r="H502">
        <v>20</v>
      </c>
      <c r="I502" s="10">
        <v>1</v>
      </c>
    </row>
    <row r="503" spans="1:9" ht="30" x14ac:dyDescent="0.25">
      <c r="A503" s="11" t="s">
        <v>152</v>
      </c>
      <c r="B503">
        <v>2024</v>
      </c>
      <c r="C503" t="s">
        <v>626</v>
      </c>
      <c r="D503" t="s">
        <v>11</v>
      </c>
      <c r="E503" t="s">
        <v>184</v>
      </c>
      <c r="F503" s="2" t="s">
        <v>191</v>
      </c>
      <c r="G503">
        <v>55</v>
      </c>
      <c r="H503">
        <v>55</v>
      </c>
      <c r="I503" s="10">
        <v>1</v>
      </c>
    </row>
    <row r="504" spans="1:9" ht="30" x14ac:dyDescent="0.25">
      <c r="A504" s="11" t="s">
        <v>152</v>
      </c>
      <c r="B504">
        <v>2024</v>
      </c>
      <c r="C504" t="s">
        <v>627</v>
      </c>
      <c r="D504" t="s">
        <v>11</v>
      </c>
      <c r="E504" t="s">
        <v>184</v>
      </c>
      <c r="F504" s="2" t="s">
        <v>191</v>
      </c>
      <c r="G504">
        <v>62</v>
      </c>
      <c r="H504">
        <v>62</v>
      </c>
      <c r="I504" s="10">
        <v>1</v>
      </c>
    </row>
    <row r="505" spans="1:9" ht="30" x14ac:dyDescent="0.25">
      <c r="A505" s="11" t="s">
        <v>152</v>
      </c>
      <c r="B505">
        <v>2024</v>
      </c>
      <c r="C505" t="s">
        <v>628</v>
      </c>
      <c r="D505" t="s">
        <v>11</v>
      </c>
      <c r="E505" t="s">
        <v>184</v>
      </c>
      <c r="F505" s="2" t="s">
        <v>191</v>
      </c>
      <c r="G505">
        <v>72</v>
      </c>
      <c r="H505">
        <v>72</v>
      </c>
      <c r="I505" s="10">
        <v>1</v>
      </c>
    </row>
    <row r="506" spans="1:9" ht="30" x14ac:dyDescent="0.25">
      <c r="A506" s="11" t="s">
        <v>152</v>
      </c>
      <c r="B506">
        <v>2024</v>
      </c>
      <c r="C506" t="s">
        <v>629</v>
      </c>
      <c r="D506" t="s">
        <v>11</v>
      </c>
      <c r="E506" t="s">
        <v>184</v>
      </c>
      <c r="F506" s="2" t="s">
        <v>191</v>
      </c>
      <c r="G506">
        <v>54</v>
      </c>
      <c r="H506">
        <v>54</v>
      </c>
      <c r="I506" s="10">
        <v>1</v>
      </c>
    </row>
    <row r="507" spans="1:9" ht="30" x14ac:dyDescent="0.25">
      <c r="A507" s="11" t="s">
        <v>152</v>
      </c>
      <c r="B507">
        <v>2024</v>
      </c>
      <c r="C507" t="s">
        <v>626</v>
      </c>
      <c r="D507" t="s">
        <v>11</v>
      </c>
      <c r="E507" t="s">
        <v>20</v>
      </c>
      <c r="F507" s="2" t="s">
        <v>236</v>
      </c>
      <c r="G507">
        <v>1</v>
      </c>
      <c r="H507">
        <v>1</v>
      </c>
      <c r="I507" s="10">
        <v>1</v>
      </c>
    </row>
    <row r="508" spans="1:9" ht="30" x14ac:dyDescent="0.25">
      <c r="A508" s="11" t="s">
        <v>152</v>
      </c>
      <c r="B508">
        <v>2024</v>
      </c>
      <c r="C508" t="s">
        <v>627</v>
      </c>
      <c r="D508" t="s">
        <v>11</v>
      </c>
      <c r="E508" t="s">
        <v>20</v>
      </c>
      <c r="F508" s="2" t="s">
        <v>236</v>
      </c>
      <c r="G508">
        <v>0</v>
      </c>
      <c r="H508">
        <v>0</v>
      </c>
    </row>
    <row r="509" spans="1:9" ht="30" x14ac:dyDescent="0.25">
      <c r="A509" s="11" t="s">
        <v>152</v>
      </c>
      <c r="B509">
        <v>2024</v>
      </c>
      <c r="C509" t="s">
        <v>628</v>
      </c>
      <c r="D509" t="s">
        <v>11</v>
      </c>
      <c r="E509" t="s">
        <v>20</v>
      </c>
      <c r="F509" s="2" t="s">
        <v>236</v>
      </c>
      <c r="G509">
        <v>2</v>
      </c>
      <c r="H509">
        <v>2</v>
      </c>
      <c r="I509" s="10">
        <v>1</v>
      </c>
    </row>
    <row r="510" spans="1:9" ht="30" x14ac:dyDescent="0.25">
      <c r="A510" s="11" t="s">
        <v>152</v>
      </c>
      <c r="B510">
        <v>2024</v>
      </c>
      <c r="C510" t="s">
        <v>629</v>
      </c>
      <c r="D510" t="s">
        <v>11</v>
      </c>
      <c r="E510" t="s">
        <v>20</v>
      </c>
      <c r="F510" s="2" t="s">
        <v>236</v>
      </c>
      <c r="G510">
        <v>0</v>
      </c>
      <c r="H510">
        <v>0</v>
      </c>
    </row>
    <row r="511" spans="1:9" ht="30" x14ac:dyDescent="0.25">
      <c r="A511" s="11" t="s">
        <v>152</v>
      </c>
      <c r="B511">
        <v>2024</v>
      </c>
      <c r="C511" t="s">
        <v>626</v>
      </c>
      <c r="D511" t="s">
        <v>11</v>
      </c>
      <c r="E511" t="s">
        <v>21</v>
      </c>
      <c r="F511" s="2" t="s">
        <v>240</v>
      </c>
      <c r="G511">
        <v>30</v>
      </c>
      <c r="H511">
        <v>30</v>
      </c>
      <c r="I511" s="10">
        <v>1</v>
      </c>
    </row>
    <row r="512" spans="1:9" ht="30" x14ac:dyDescent="0.25">
      <c r="A512" s="11" t="s">
        <v>152</v>
      </c>
      <c r="B512">
        <v>2024</v>
      </c>
      <c r="C512" t="s">
        <v>627</v>
      </c>
      <c r="D512" t="s">
        <v>11</v>
      </c>
      <c r="E512" t="s">
        <v>21</v>
      </c>
      <c r="F512" s="2" t="s">
        <v>240</v>
      </c>
      <c r="G512">
        <v>30</v>
      </c>
      <c r="H512">
        <v>30</v>
      </c>
      <c r="I512" s="10">
        <v>1</v>
      </c>
    </row>
    <row r="513" spans="1:9" ht="30" x14ac:dyDescent="0.25">
      <c r="A513" s="11" t="s">
        <v>152</v>
      </c>
      <c r="B513">
        <v>2024</v>
      </c>
      <c r="C513" t="s">
        <v>628</v>
      </c>
      <c r="D513" t="s">
        <v>11</v>
      </c>
      <c r="E513" t="s">
        <v>21</v>
      </c>
      <c r="F513" s="2" t="s">
        <v>240</v>
      </c>
      <c r="G513">
        <v>30</v>
      </c>
      <c r="H513">
        <v>30</v>
      </c>
      <c r="I513" s="10">
        <v>1</v>
      </c>
    </row>
    <row r="514" spans="1:9" ht="30" x14ac:dyDescent="0.25">
      <c r="A514" s="11" t="s">
        <v>152</v>
      </c>
      <c r="B514">
        <v>2024</v>
      </c>
      <c r="C514" t="s">
        <v>629</v>
      </c>
      <c r="D514" t="s">
        <v>11</v>
      </c>
      <c r="E514" t="s">
        <v>21</v>
      </c>
      <c r="F514" s="2" t="s">
        <v>240</v>
      </c>
      <c r="G514">
        <v>28</v>
      </c>
      <c r="H514">
        <v>28</v>
      </c>
      <c r="I514" s="10">
        <v>1</v>
      </c>
    </row>
    <row r="515" spans="1:9" ht="30" x14ac:dyDescent="0.25">
      <c r="A515" s="11" t="s">
        <v>152</v>
      </c>
      <c r="B515">
        <v>2024</v>
      </c>
      <c r="C515" t="s">
        <v>626</v>
      </c>
      <c r="D515" t="s">
        <v>11</v>
      </c>
      <c r="E515" t="s">
        <v>261</v>
      </c>
      <c r="F515" s="2" t="s">
        <v>262</v>
      </c>
      <c r="G515">
        <v>86</v>
      </c>
      <c r="H515">
        <v>86</v>
      </c>
      <c r="I515" s="10">
        <v>1</v>
      </c>
    </row>
    <row r="516" spans="1:9" ht="30" x14ac:dyDescent="0.25">
      <c r="A516" s="11" t="s">
        <v>152</v>
      </c>
      <c r="B516">
        <v>2024</v>
      </c>
      <c r="C516" t="s">
        <v>627</v>
      </c>
      <c r="D516" t="s">
        <v>11</v>
      </c>
      <c r="E516" t="s">
        <v>261</v>
      </c>
      <c r="F516" s="2" t="s">
        <v>262</v>
      </c>
      <c r="G516">
        <v>85</v>
      </c>
      <c r="H516">
        <v>85</v>
      </c>
      <c r="I516" s="10">
        <v>1</v>
      </c>
    </row>
    <row r="517" spans="1:9" ht="30" x14ac:dyDescent="0.25">
      <c r="A517" s="11" t="s">
        <v>152</v>
      </c>
      <c r="B517">
        <v>2024</v>
      </c>
      <c r="C517" t="s">
        <v>628</v>
      </c>
      <c r="D517" t="s">
        <v>11</v>
      </c>
      <c r="E517" t="s">
        <v>261</v>
      </c>
      <c r="F517" s="2" t="s">
        <v>262</v>
      </c>
      <c r="G517">
        <v>130</v>
      </c>
      <c r="H517">
        <v>130</v>
      </c>
      <c r="I517" s="10">
        <v>1</v>
      </c>
    </row>
    <row r="518" spans="1:9" ht="30" x14ac:dyDescent="0.25">
      <c r="A518" s="11" t="s">
        <v>152</v>
      </c>
      <c r="B518">
        <v>2024</v>
      </c>
      <c r="C518" t="s">
        <v>629</v>
      </c>
      <c r="D518" t="s">
        <v>11</v>
      </c>
      <c r="E518" t="s">
        <v>261</v>
      </c>
      <c r="F518" s="2" t="s">
        <v>262</v>
      </c>
      <c r="G518">
        <v>110</v>
      </c>
      <c r="H518">
        <v>110</v>
      </c>
      <c r="I518" s="10">
        <v>1</v>
      </c>
    </row>
    <row r="519" spans="1:9" ht="30" x14ac:dyDescent="0.25">
      <c r="A519" s="11" t="s">
        <v>152</v>
      </c>
      <c r="B519">
        <v>2024</v>
      </c>
      <c r="C519" t="s">
        <v>626</v>
      </c>
      <c r="D519" t="s">
        <v>11</v>
      </c>
      <c r="E519" t="s">
        <v>273</v>
      </c>
      <c r="F519" s="2" t="s">
        <v>288</v>
      </c>
      <c r="G519">
        <v>100</v>
      </c>
      <c r="H519">
        <v>100</v>
      </c>
      <c r="I519" s="10">
        <v>1</v>
      </c>
    </row>
    <row r="520" spans="1:9" ht="30" x14ac:dyDescent="0.25">
      <c r="A520" s="11" t="s">
        <v>152</v>
      </c>
      <c r="B520">
        <v>2024</v>
      </c>
      <c r="C520" t="s">
        <v>627</v>
      </c>
      <c r="D520" t="s">
        <v>11</v>
      </c>
      <c r="E520" t="s">
        <v>273</v>
      </c>
      <c r="F520" s="2" t="s">
        <v>288</v>
      </c>
      <c r="G520">
        <v>103</v>
      </c>
      <c r="H520">
        <v>103</v>
      </c>
      <c r="I520" s="10">
        <v>1</v>
      </c>
    </row>
    <row r="521" spans="1:9" ht="30" x14ac:dyDescent="0.25">
      <c r="A521" s="11" t="s">
        <v>152</v>
      </c>
      <c r="B521">
        <v>2024</v>
      </c>
      <c r="C521" t="s">
        <v>628</v>
      </c>
      <c r="D521" t="s">
        <v>11</v>
      </c>
      <c r="E521" t="s">
        <v>273</v>
      </c>
      <c r="F521" s="2" t="s">
        <v>288</v>
      </c>
      <c r="G521">
        <v>112</v>
      </c>
      <c r="H521">
        <v>112</v>
      </c>
      <c r="I521" s="10">
        <v>1</v>
      </c>
    </row>
    <row r="522" spans="1:9" ht="30" x14ac:dyDescent="0.25">
      <c r="A522" s="11" t="s">
        <v>152</v>
      </c>
      <c r="B522">
        <v>2024</v>
      </c>
      <c r="C522" t="s">
        <v>629</v>
      </c>
      <c r="D522" t="s">
        <v>11</v>
      </c>
      <c r="E522" t="s">
        <v>273</v>
      </c>
      <c r="F522" s="2" t="s">
        <v>288</v>
      </c>
      <c r="G522">
        <v>96</v>
      </c>
      <c r="H522">
        <v>96</v>
      </c>
      <c r="I522" s="10">
        <v>1</v>
      </c>
    </row>
    <row r="523" spans="1:9" ht="30" x14ac:dyDescent="0.25">
      <c r="A523" s="11" t="s">
        <v>152</v>
      </c>
      <c r="B523">
        <v>2024</v>
      </c>
      <c r="C523" t="s">
        <v>626</v>
      </c>
      <c r="D523" t="s">
        <v>15</v>
      </c>
      <c r="E523" t="s">
        <v>559</v>
      </c>
      <c r="F523" s="2" t="s">
        <v>575</v>
      </c>
      <c r="G523">
        <v>28</v>
      </c>
      <c r="H523">
        <v>28</v>
      </c>
      <c r="I523" s="10">
        <v>1</v>
      </c>
    </row>
    <row r="524" spans="1:9" ht="30" x14ac:dyDescent="0.25">
      <c r="A524" s="11" t="s">
        <v>152</v>
      </c>
      <c r="B524">
        <v>2024</v>
      </c>
      <c r="C524" t="s">
        <v>627</v>
      </c>
      <c r="D524" t="s">
        <v>15</v>
      </c>
      <c r="E524" t="s">
        <v>559</v>
      </c>
      <c r="F524" s="2" t="s">
        <v>575</v>
      </c>
      <c r="G524">
        <v>27</v>
      </c>
      <c r="H524">
        <v>27</v>
      </c>
      <c r="I524" s="10">
        <v>1</v>
      </c>
    </row>
    <row r="525" spans="1:9" ht="30" x14ac:dyDescent="0.25">
      <c r="A525" s="11" t="s">
        <v>152</v>
      </c>
      <c r="B525">
        <v>2024</v>
      </c>
      <c r="C525" t="s">
        <v>628</v>
      </c>
      <c r="D525" t="s">
        <v>15</v>
      </c>
      <c r="E525" t="s">
        <v>559</v>
      </c>
      <c r="F525" s="2" t="s">
        <v>575</v>
      </c>
      <c r="G525">
        <v>28</v>
      </c>
      <c r="H525">
        <v>28</v>
      </c>
      <c r="I525" s="10">
        <v>1</v>
      </c>
    </row>
    <row r="526" spans="1:9" ht="30" x14ac:dyDescent="0.25">
      <c r="A526" s="11" t="s">
        <v>152</v>
      </c>
      <c r="B526">
        <v>2024</v>
      </c>
      <c r="C526" t="s">
        <v>629</v>
      </c>
      <c r="D526" t="s">
        <v>15</v>
      </c>
      <c r="E526" t="s">
        <v>559</v>
      </c>
      <c r="F526" s="2" t="s">
        <v>575</v>
      </c>
      <c r="G526">
        <v>28</v>
      </c>
      <c r="H526">
        <v>28</v>
      </c>
      <c r="I526" s="10">
        <v>1</v>
      </c>
    </row>
    <row r="527" spans="1:9" ht="30" x14ac:dyDescent="0.25">
      <c r="A527" s="11" t="s">
        <v>152</v>
      </c>
      <c r="B527">
        <v>2024</v>
      </c>
      <c r="C527" t="s">
        <v>626</v>
      </c>
      <c r="D527" t="s">
        <v>15</v>
      </c>
      <c r="E527" t="s">
        <v>34</v>
      </c>
      <c r="F527" s="2" t="s">
        <v>604</v>
      </c>
      <c r="G527">
        <v>61</v>
      </c>
      <c r="H527">
        <v>61</v>
      </c>
      <c r="I527" s="10">
        <v>1</v>
      </c>
    </row>
    <row r="528" spans="1:9" ht="30" x14ac:dyDescent="0.25">
      <c r="A528" s="11" t="s">
        <v>152</v>
      </c>
      <c r="B528">
        <v>2024</v>
      </c>
      <c r="C528" t="s">
        <v>627</v>
      </c>
      <c r="D528" t="s">
        <v>15</v>
      </c>
      <c r="E528" t="s">
        <v>34</v>
      </c>
      <c r="F528" s="2" t="s">
        <v>604</v>
      </c>
      <c r="G528">
        <v>60</v>
      </c>
      <c r="H528">
        <v>60</v>
      </c>
      <c r="I528" s="10">
        <v>1</v>
      </c>
    </row>
    <row r="529" spans="1:9" ht="30" x14ac:dyDescent="0.25">
      <c r="A529" s="11" t="s">
        <v>152</v>
      </c>
      <c r="B529">
        <v>2024</v>
      </c>
      <c r="C529" t="s">
        <v>628</v>
      </c>
      <c r="D529" t="s">
        <v>15</v>
      </c>
      <c r="E529" t="s">
        <v>34</v>
      </c>
      <c r="F529" s="2" t="s">
        <v>604</v>
      </c>
      <c r="G529">
        <v>61</v>
      </c>
      <c r="H529">
        <v>61</v>
      </c>
      <c r="I529" s="10">
        <v>1</v>
      </c>
    </row>
    <row r="530" spans="1:9" ht="30" x14ac:dyDescent="0.25">
      <c r="A530" s="11" t="s">
        <v>152</v>
      </c>
      <c r="B530">
        <v>2024</v>
      </c>
      <c r="C530" t="s">
        <v>629</v>
      </c>
      <c r="D530" t="s">
        <v>15</v>
      </c>
      <c r="E530" t="s">
        <v>34</v>
      </c>
      <c r="F530" s="2" t="s">
        <v>604</v>
      </c>
      <c r="G530">
        <v>60</v>
      </c>
      <c r="H530">
        <v>60</v>
      </c>
      <c r="I530" s="10">
        <v>1</v>
      </c>
    </row>
    <row r="531" spans="1:9" ht="30" x14ac:dyDescent="0.25">
      <c r="A531" s="11" t="s">
        <v>152</v>
      </c>
      <c r="B531">
        <v>2024</v>
      </c>
      <c r="C531" t="s">
        <v>626</v>
      </c>
      <c r="D531" t="s">
        <v>15</v>
      </c>
      <c r="E531" t="s">
        <v>31</v>
      </c>
      <c r="F531" s="2" t="s">
        <v>526</v>
      </c>
      <c r="G531">
        <v>31</v>
      </c>
      <c r="H531">
        <v>35</v>
      </c>
      <c r="I531" s="10">
        <v>0.88571428571428568</v>
      </c>
    </row>
    <row r="532" spans="1:9" ht="30" x14ac:dyDescent="0.25">
      <c r="A532" s="11" t="s">
        <v>152</v>
      </c>
      <c r="B532">
        <v>2024</v>
      </c>
      <c r="C532" t="s">
        <v>627</v>
      </c>
      <c r="D532" t="s">
        <v>15</v>
      </c>
      <c r="E532" t="s">
        <v>31</v>
      </c>
      <c r="F532" s="2" t="s">
        <v>526</v>
      </c>
      <c r="G532">
        <v>39</v>
      </c>
      <c r="H532">
        <v>46</v>
      </c>
      <c r="I532" s="10">
        <v>0.84782608695652173</v>
      </c>
    </row>
    <row r="533" spans="1:9" ht="30" x14ac:dyDescent="0.25">
      <c r="A533" s="11" t="s">
        <v>152</v>
      </c>
      <c r="B533">
        <v>2024</v>
      </c>
      <c r="C533" t="s">
        <v>628</v>
      </c>
      <c r="D533" t="s">
        <v>15</v>
      </c>
      <c r="E533" t="s">
        <v>31</v>
      </c>
      <c r="F533" s="2" t="s">
        <v>526</v>
      </c>
      <c r="G533">
        <v>45</v>
      </c>
      <c r="H533">
        <v>55</v>
      </c>
      <c r="I533" s="10">
        <v>0.81818181818181823</v>
      </c>
    </row>
    <row r="534" spans="1:9" ht="30" x14ac:dyDescent="0.25">
      <c r="A534" s="11" t="s">
        <v>152</v>
      </c>
      <c r="B534">
        <v>2024</v>
      </c>
      <c r="C534" t="s">
        <v>629</v>
      </c>
      <c r="D534" t="s">
        <v>15</v>
      </c>
      <c r="E534" t="s">
        <v>31</v>
      </c>
      <c r="F534" s="2" t="s">
        <v>526</v>
      </c>
      <c r="G534">
        <v>31</v>
      </c>
      <c r="H534">
        <v>44</v>
      </c>
      <c r="I534" s="10">
        <v>0.70454545454545459</v>
      </c>
    </row>
    <row r="535" spans="1:9" ht="30" x14ac:dyDescent="0.25">
      <c r="A535" s="11" t="s">
        <v>152</v>
      </c>
      <c r="B535">
        <v>2024</v>
      </c>
      <c r="C535" t="s">
        <v>626</v>
      </c>
      <c r="D535" t="s">
        <v>15</v>
      </c>
      <c r="E535" t="s">
        <v>32</v>
      </c>
      <c r="F535" s="2" t="s">
        <v>550</v>
      </c>
      <c r="G535">
        <v>35</v>
      </c>
      <c r="H535">
        <v>35</v>
      </c>
      <c r="I535" s="10">
        <v>1</v>
      </c>
    </row>
    <row r="536" spans="1:9" ht="30" x14ac:dyDescent="0.25">
      <c r="A536" s="11" t="s">
        <v>152</v>
      </c>
      <c r="B536">
        <v>2024</v>
      </c>
      <c r="C536" t="s">
        <v>627</v>
      </c>
      <c r="D536" t="s">
        <v>15</v>
      </c>
      <c r="E536" t="s">
        <v>32</v>
      </c>
      <c r="F536" s="2" t="s">
        <v>550</v>
      </c>
      <c r="G536">
        <v>46</v>
      </c>
      <c r="H536">
        <v>46</v>
      </c>
      <c r="I536" s="10">
        <v>1</v>
      </c>
    </row>
    <row r="537" spans="1:9" ht="30" x14ac:dyDescent="0.25">
      <c r="A537" s="11" t="s">
        <v>152</v>
      </c>
      <c r="B537">
        <v>2024</v>
      </c>
      <c r="C537" t="s">
        <v>628</v>
      </c>
      <c r="D537" t="s">
        <v>15</v>
      </c>
      <c r="E537" t="s">
        <v>32</v>
      </c>
      <c r="F537" s="2" t="s">
        <v>550</v>
      </c>
      <c r="G537">
        <v>40</v>
      </c>
      <c r="H537">
        <v>40</v>
      </c>
      <c r="I537" s="10">
        <v>1</v>
      </c>
    </row>
    <row r="538" spans="1:9" ht="30" x14ac:dyDescent="0.25">
      <c r="A538" s="11" t="s">
        <v>152</v>
      </c>
      <c r="B538">
        <v>2024</v>
      </c>
      <c r="C538" t="s">
        <v>629</v>
      </c>
      <c r="D538" t="s">
        <v>15</v>
      </c>
      <c r="E538" t="s">
        <v>32</v>
      </c>
      <c r="F538" s="2" t="s">
        <v>550</v>
      </c>
      <c r="G538">
        <v>29</v>
      </c>
      <c r="H538">
        <v>29</v>
      </c>
      <c r="I538" s="10">
        <v>1</v>
      </c>
    </row>
    <row r="539" spans="1:9" ht="30" x14ac:dyDescent="0.25">
      <c r="A539" s="11" t="s">
        <v>159</v>
      </c>
      <c r="B539">
        <v>2024</v>
      </c>
      <c r="C539" t="s">
        <v>139</v>
      </c>
      <c r="D539" t="s">
        <v>11</v>
      </c>
      <c r="E539" t="s">
        <v>21</v>
      </c>
      <c r="F539" s="2" t="s">
        <v>245</v>
      </c>
      <c r="G539">
        <v>9</v>
      </c>
      <c r="H539">
        <v>9</v>
      </c>
      <c r="I539" s="10">
        <v>1</v>
      </c>
    </row>
    <row r="540" spans="1:9" ht="30" x14ac:dyDescent="0.25">
      <c r="A540" s="11" t="s">
        <v>152</v>
      </c>
      <c r="B540">
        <v>2025</v>
      </c>
      <c r="C540" t="s">
        <v>139</v>
      </c>
      <c r="D540" t="s">
        <v>11</v>
      </c>
      <c r="E540" t="s">
        <v>184</v>
      </c>
      <c r="F540" s="2" t="s">
        <v>191</v>
      </c>
      <c r="G540">
        <v>20</v>
      </c>
      <c r="H540">
        <v>20</v>
      </c>
      <c r="I540" s="10">
        <v>1</v>
      </c>
    </row>
    <row r="541" spans="1:9" ht="30" x14ac:dyDescent="0.25">
      <c r="A541" s="11" t="s">
        <v>152</v>
      </c>
      <c r="B541">
        <v>2025</v>
      </c>
      <c r="C541" t="s">
        <v>140</v>
      </c>
      <c r="D541" t="s">
        <v>11</v>
      </c>
      <c r="E541" t="s">
        <v>184</v>
      </c>
      <c r="F541" s="2" t="s">
        <v>191</v>
      </c>
      <c r="G541">
        <v>17</v>
      </c>
      <c r="H541">
        <v>17</v>
      </c>
      <c r="I541" s="10">
        <v>1</v>
      </c>
    </row>
    <row r="542" spans="1:9" ht="30" x14ac:dyDescent="0.25">
      <c r="A542" s="11" t="s">
        <v>152</v>
      </c>
      <c r="B542">
        <v>2025</v>
      </c>
      <c r="C542" t="s">
        <v>626</v>
      </c>
      <c r="D542" t="s">
        <v>11</v>
      </c>
      <c r="E542" t="s">
        <v>184</v>
      </c>
      <c r="F542" s="2" t="s">
        <v>191</v>
      </c>
      <c r="G542">
        <v>20</v>
      </c>
      <c r="H542">
        <v>20</v>
      </c>
      <c r="I542" s="10">
        <v>1</v>
      </c>
    </row>
    <row r="543" spans="1:9" ht="30" x14ac:dyDescent="0.25">
      <c r="A543" s="11" t="s">
        <v>152</v>
      </c>
      <c r="B543">
        <v>2025</v>
      </c>
      <c r="C543" t="s">
        <v>139</v>
      </c>
      <c r="D543" t="s">
        <v>11</v>
      </c>
      <c r="E543" t="s">
        <v>20</v>
      </c>
      <c r="F543" s="2" t="s">
        <v>236</v>
      </c>
      <c r="G543">
        <v>0</v>
      </c>
      <c r="H543">
        <v>0</v>
      </c>
    </row>
    <row r="544" spans="1:9" ht="30" x14ac:dyDescent="0.25">
      <c r="A544" s="11" t="s">
        <v>152</v>
      </c>
      <c r="B544">
        <v>2025</v>
      </c>
      <c r="C544" t="s">
        <v>140</v>
      </c>
      <c r="D544" t="s">
        <v>11</v>
      </c>
      <c r="E544" t="s">
        <v>20</v>
      </c>
      <c r="F544" s="2" t="s">
        <v>236</v>
      </c>
      <c r="G544">
        <v>0</v>
      </c>
      <c r="H544">
        <v>0</v>
      </c>
    </row>
    <row r="545" spans="1:9" ht="30" x14ac:dyDescent="0.25">
      <c r="A545" s="11" t="s">
        <v>152</v>
      </c>
      <c r="B545">
        <v>2025</v>
      </c>
      <c r="C545" t="s">
        <v>626</v>
      </c>
      <c r="D545" t="s">
        <v>11</v>
      </c>
      <c r="E545" t="s">
        <v>20</v>
      </c>
      <c r="F545" s="2" t="s">
        <v>236</v>
      </c>
      <c r="G545">
        <v>0</v>
      </c>
      <c r="H545">
        <v>0</v>
      </c>
    </row>
    <row r="546" spans="1:9" ht="30" x14ac:dyDescent="0.25">
      <c r="A546" s="11" t="s">
        <v>152</v>
      </c>
      <c r="B546">
        <v>2025</v>
      </c>
      <c r="C546" t="s">
        <v>139</v>
      </c>
      <c r="D546" t="s">
        <v>11</v>
      </c>
      <c r="E546" t="s">
        <v>261</v>
      </c>
      <c r="F546" s="2" t="s">
        <v>262</v>
      </c>
      <c r="G546">
        <v>38</v>
      </c>
      <c r="H546">
        <v>38</v>
      </c>
      <c r="I546" s="10">
        <v>1</v>
      </c>
    </row>
    <row r="547" spans="1:9" ht="30" x14ac:dyDescent="0.25">
      <c r="A547" s="11" t="s">
        <v>152</v>
      </c>
      <c r="B547">
        <v>2025</v>
      </c>
      <c r="C547" t="s">
        <v>140</v>
      </c>
      <c r="D547" t="s">
        <v>11</v>
      </c>
      <c r="E547" t="s">
        <v>261</v>
      </c>
      <c r="F547" s="2" t="s">
        <v>262</v>
      </c>
      <c r="G547">
        <v>29</v>
      </c>
      <c r="H547">
        <v>29</v>
      </c>
      <c r="I547" s="10">
        <v>1</v>
      </c>
    </row>
    <row r="548" spans="1:9" ht="30" x14ac:dyDescent="0.25">
      <c r="A548" s="11" t="s">
        <v>152</v>
      </c>
      <c r="B548">
        <v>2025</v>
      </c>
      <c r="C548" t="s">
        <v>626</v>
      </c>
      <c r="D548" t="s">
        <v>11</v>
      </c>
      <c r="E548" t="s">
        <v>261</v>
      </c>
      <c r="F548" s="2" t="s">
        <v>262</v>
      </c>
      <c r="G548">
        <v>51</v>
      </c>
      <c r="H548">
        <v>51</v>
      </c>
      <c r="I548" s="10">
        <v>1</v>
      </c>
    </row>
    <row r="549" spans="1:9" ht="30" x14ac:dyDescent="0.25">
      <c r="A549" s="11" t="s">
        <v>152</v>
      </c>
      <c r="B549">
        <v>2025</v>
      </c>
      <c r="C549" t="s">
        <v>139</v>
      </c>
      <c r="D549" t="s">
        <v>11</v>
      </c>
      <c r="E549" t="s">
        <v>273</v>
      </c>
      <c r="F549" s="2" t="s">
        <v>288</v>
      </c>
      <c r="G549">
        <v>32</v>
      </c>
      <c r="H549">
        <v>32</v>
      </c>
      <c r="I549" s="10">
        <v>1</v>
      </c>
    </row>
    <row r="550" spans="1:9" ht="30" x14ac:dyDescent="0.25">
      <c r="A550" s="11" t="s">
        <v>152</v>
      </c>
      <c r="B550">
        <v>2025</v>
      </c>
      <c r="C550" t="s">
        <v>140</v>
      </c>
      <c r="D550" t="s">
        <v>11</v>
      </c>
      <c r="E550" t="s">
        <v>273</v>
      </c>
      <c r="F550" s="2" t="s">
        <v>288</v>
      </c>
      <c r="G550">
        <v>28</v>
      </c>
      <c r="H550">
        <v>28</v>
      </c>
      <c r="I550" s="10">
        <v>1</v>
      </c>
    </row>
    <row r="551" spans="1:9" ht="30" x14ac:dyDescent="0.25">
      <c r="A551" s="11" t="s">
        <v>152</v>
      </c>
      <c r="B551">
        <v>2025</v>
      </c>
      <c r="C551" t="s">
        <v>626</v>
      </c>
      <c r="D551" t="s">
        <v>11</v>
      </c>
      <c r="E551" t="s">
        <v>273</v>
      </c>
      <c r="F551" s="2" t="s">
        <v>288</v>
      </c>
      <c r="G551">
        <v>32</v>
      </c>
      <c r="H551">
        <v>32</v>
      </c>
      <c r="I551" s="10">
        <v>1</v>
      </c>
    </row>
    <row r="552" spans="1:9" ht="30" x14ac:dyDescent="0.25">
      <c r="A552" s="11" t="s">
        <v>152</v>
      </c>
      <c r="B552">
        <v>2025</v>
      </c>
      <c r="C552" t="s">
        <v>139</v>
      </c>
      <c r="D552" t="s">
        <v>15</v>
      </c>
      <c r="E552" t="s">
        <v>32</v>
      </c>
      <c r="F552" s="2" t="s">
        <v>550</v>
      </c>
      <c r="G552">
        <v>18</v>
      </c>
      <c r="H552">
        <v>18</v>
      </c>
      <c r="I552" s="10">
        <v>1</v>
      </c>
    </row>
    <row r="553" spans="1:9" ht="30" x14ac:dyDescent="0.25">
      <c r="A553" s="11" t="s">
        <v>152</v>
      </c>
      <c r="B553">
        <v>2025</v>
      </c>
      <c r="C553" t="s">
        <v>140</v>
      </c>
      <c r="D553" t="s">
        <v>15</v>
      </c>
      <c r="E553" t="s">
        <v>32</v>
      </c>
      <c r="F553" s="2" t="s">
        <v>550</v>
      </c>
      <c r="G553">
        <v>14</v>
      </c>
      <c r="H553">
        <v>14</v>
      </c>
      <c r="I553" s="10">
        <v>1</v>
      </c>
    </row>
    <row r="554" spans="1:9" ht="30" x14ac:dyDescent="0.25">
      <c r="A554" s="11" t="s">
        <v>152</v>
      </c>
      <c r="B554">
        <v>2025</v>
      </c>
      <c r="C554" t="s">
        <v>626</v>
      </c>
      <c r="D554" t="s">
        <v>15</v>
      </c>
      <c r="E554" t="s">
        <v>32</v>
      </c>
      <c r="F554" s="2" t="s">
        <v>550</v>
      </c>
      <c r="G554">
        <v>20</v>
      </c>
      <c r="H554">
        <v>20</v>
      </c>
      <c r="I554" s="10">
        <v>1</v>
      </c>
    </row>
    <row r="555" spans="1:9" ht="30" x14ac:dyDescent="0.25">
      <c r="A555" s="11" t="s">
        <v>152</v>
      </c>
      <c r="B555">
        <v>2025</v>
      </c>
      <c r="C555" t="s">
        <v>139</v>
      </c>
      <c r="D555" t="s">
        <v>15</v>
      </c>
      <c r="E555" t="s">
        <v>31</v>
      </c>
      <c r="F555" s="2" t="s">
        <v>526</v>
      </c>
      <c r="G555">
        <v>14</v>
      </c>
      <c r="H555">
        <v>18</v>
      </c>
      <c r="I555" s="10">
        <v>0.77777777777777779</v>
      </c>
    </row>
    <row r="556" spans="1:9" ht="30" x14ac:dyDescent="0.25">
      <c r="A556" s="11" t="s">
        <v>152</v>
      </c>
      <c r="B556">
        <v>2025</v>
      </c>
      <c r="C556" t="s">
        <v>140</v>
      </c>
      <c r="D556" t="s">
        <v>15</v>
      </c>
      <c r="E556" t="s">
        <v>31</v>
      </c>
      <c r="F556" s="2" t="s">
        <v>526</v>
      </c>
      <c r="G556">
        <v>14</v>
      </c>
      <c r="H556">
        <v>14</v>
      </c>
      <c r="I556" s="10">
        <v>1</v>
      </c>
    </row>
    <row r="557" spans="1:9" ht="30" x14ac:dyDescent="0.25">
      <c r="A557" s="11" t="s">
        <v>152</v>
      </c>
      <c r="B557">
        <v>2025</v>
      </c>
      <c r="C557" t="s">
        <v>626</v>
      </c>
      <c r="D557" t="s">
        <v>15</v>
      </c>
      <c r="E557" t="s">
        <v>31</v>
      </c>
      <c r="F557" s="2" t="s">
        <v>526</v>
      </c>
      <c r="G557">
        <v>20</v>
      </c>
      <c r="H557">
        <v>20</v>
      </c>
      <c r="I557" s="10">
        <v>1</v>
      </c>
    </row>
    <row r="558" spans="1:9" ht="30" x14ac:dyDescent="0.25">
      <c r="A558" s="11" t="s">
        <v>152</v>
      </c>
      <c r="B558">
        <v>2025</v>
      </c>
      <c r="C558" t="s">
        <v>139</v>
      </c>
      <c r="D558" t="s">
        <v>11</v>
      </c>
      <c r="E558" t="s">
        <v>21</v>
      </c>
      <c r="F558" s="2" t="s">
        <v>240</v>
      </c>
      <c r="G558">
        <v>8</v>
      </c>
      <c r="H558">
        <v>8</v>
      </c>
      <c r="I558" s="10">
        <v>1</v>
      </c>
    </row>
    <row r="559" spans="1:9" ht="30" x14ac:dyDescent="0.25">
      <c r="A559" s="11" t="s">
        <v>152</v>
      </c>
      <c r="B559">
        <v>2025</v>
      </c>
      <c r="C559" t="s">
        <v>140</v>
      </c>
      <c r="D559" t="s">
        <v>11</v>
      </c>
      <c r="E559" t="s">
        <v>21</v>
      </c>
      <c r="F559" s="2" t="s">
        <v>240</v>
      </c>
      <c r="G559">
        <v>11</v>
      </c>
      <c r="H559">
        <v>11</v>
      </c>
      <c r="I559" s="10">
        <v>1</v>
      </c>
    </row>
    <row r="560" spans="1:9" ht="30" x14ac:dyDescent="0.25">
      <c r="A560" s="11" t="s">
        <v>152</v>
      </c>
      <c r="B560">
        <v>2025</v>
      </c>
      <c r="C560" t="s">
        <v>626</v>
      </c>
      <c r="D560" t="s">
        <v>11</v>
      </c>
      <c r="E560" t="s">
        <v>21</v>
      </c>
      <c r="F560" s="2" t="s">
        <v>240</v>
      </c>
      <c r="G560">
        <v>10</v>
      </c>
      <c r="H560">
        <v>10</v>
      </c>
      <c r="I560" s="10">
        <v>1</v>
      </c>
    </row>
    <row r="561" spans="1:9" ht="30" x14ac:dyDescent="0.25">
      <c r="A561" s="11" t="s">
        <v>159</v>
      </c>
      <c r="B561">
        <v>2025</v>
      </c>
      <c r="C561" t="s">
        <v>626</v>
      </c>
      <c r="D561" t="s">
        <v>11</v>
      </c>
      <c r="E561" t="s">
        <v>184</v>
      </c>
      <c r="F561" s="2" t="s">
        <v>40</v>
      </c>
      <c r="G561">
        <v>32</v>
      </c>
      <c r="H561">
        <v>39</v>
      </c>
      <c r="I561" s="10">
        <v>0.82051282051282048</v>
      </c>
    </row>
    <row r="562" spans="1:9" ht="45" x14ac:dyDescent="0.25">
      <c r="A562" s="11" t="s">
        <v>159</v>
      </c>
      <c r="B562">
        <v>2025</v>
      </c>
      <c r="C562" t="s">
        <v>626</v>
      </c>
      <c r="D562" t="s">
        <v>11</v>
      </c>
      <c r="E562" t="s">
        <v>273</v>
      </c>
      <c r="F562" s="2" t="s">
        <v>284</v>
      </c>
      <c r="G562">
        <v>14</v>
      </c>
      <c r="H562">
        <v>24</v>
      </c>
      <c r="I562" s="10">
        <v>0.58333333333333337</v>
      </c>
    </row>
    <row r="563" spans="1:9" ht="30" x14ac:dyDescent="0.25">
      <c r="A563" s="11" t="s">
        <v>159</v>
      </c>
      <c r="B563">
        <v>2025</v>
      </c>
      <c r="C563" t="s">
        <v>139</v>
      </c>
      <c r="D563" t="s">
        <v>11</v>
      </c>
      <c r="E563" t="s">
        <v>21</v>
      </c>
      <c r="F563" s="2" t="s">
        <v>245</v>
      </c>
      <c r="G563">
        <v>9</v>
      </c>
      <c r="H563">
        <v>9</v>
      </c>
      <c r="I563" s="10">
        <v>1</v>
      </c>
    </row>
    <row r="564" spans="1:9" ht="30" x14ac:dyDescent="0.25">
      <c r="A564" s="11" t="s">
        <v>159</v>
      </c>
      <c r="B564">
        <v>2025</v>
      </c>
      <c r="C564" t="s">
        <v>140</v>
      </c>
      <c r="D564" t="s">
        <v>11</v>
      </c>
      <c r="E564" t="s">
        <v>21</v>
      </c>
      <c r="F564" s="2" t="s">
        <v>245</v>
      </c>
      <c r="G564">
        <v>9</v>
      </c>
      <c r="H564">
        <v>9</v>
      </c>
      <c r="I564" s="10">
        <v>1</v>
      </c>
    </row>
    <row r="565" spans="1:9" ht="30" x14ac:dyDescent="0.25">
      <c r="A565" s="11" t="s">
        <v>159</v>
      </c>
      <c r="B565">
        <v>2025</v>
      </c>
      <c r="C565" t="s">
        <v>626</v>
      </c>
      <c r="D565" t="s">
        <v>11</v>
      </c>
      <c r="E565" t="s">
        <v>21</v>
      </c>
      <c r="F565" s="2" t="s">
        <v>245</v>
      </c>
      <c r="G565">
        <v>14</v>
      </c>
      <c r="H565">
        <v>14</v>
      </c>
      <c r="I565" s="10">
        <v>1</v>
      </c>
    </row>
    <row r="566" spans="1:9" ht="30" x14ac:dyDescent="0.25">
      <c r="A566" s="11" t="s">
        <v>159</v>
      </c>
      <c r="B566">
        <v>2025</v>
      </c>
      <c r="C566" t="s">
        <v>626</v>
      </c>
      <c r="D566" t="s">
        <v>11</v>
      </c>
      <c r="E566" t="s">
        <v>209</v>
      </c>
      <c r="F566" s="2" t="s">
        <v>210</v>
      </c>
      <c r="G566">
        <v>39</v>
      </c>
      <c r="H566">
        <v>39</v>
      </c>
      <c r="I566" s="10">
        <v>1</v>
      </c>
    </row>
    <row r="567" spans="1:9" ht="30" x14ac:dyDescent="0.25">
      <c r="A567" s="11" t="s">
        <v>159</v>
      </c>
      <c r="B567">
        <v>2025</v>
      </c>
      <c r="C567" t="s">
        <v>626</v>
      </c>
      <c r="D567" t="s">
        <v>11</v>
      </c>
      <c r="E567" t="s">
        <v>23</v>
      </c>
      <c r="F567" s="2" t="s">
        <v>43</v>
      </c>
      <c r="G567">
        <v>34</v>
      </c>
      <c r="H567">
        <v>39</v>
      </c>
      <c r="I567" s="10">
        <v>0.87179487179487181</v>
      </c>
    </row>
    <row r="568" spans="1:9" ht="30" x14ac:dyDescent="0.25">
      <c r="A568" s="11" t="s">
        <v>146</v>
      </c>
      <c r="B568">
        <v>2025</v>
      </c>
      <c r="C568" t="s">
        <v>626</v>
      </c>
      <c r="D568" t="s">
        <v>11</v>
      </c>
      <c r="E568" t="s">
        <v>261</v>
      </c>
      <c r="F568" s="2" t="s">
        <v>262</v>
      </c>
      <c r="G568">
        <v>36</v>
      </c>
      <c r="H568">
        <v>39</v>
      </c>
      <c r="I568" s="10">
        <v>0.92307692307692313</v>
      </c>
    </row>
    <row r="569" spans="1:9" ht="30" x14ac:dyDescent="0.25">
      <c r="A569" s="11" t="s">
        <v>146</v>
      </c>
      <c r="B569">
        <v>2025</v>
      </c>
      <c r="C569" t="s">
        <v>626</v>
      </c>
      <c r="D569" t="s">
        <v>11</v>
      </c>
      <c r="E569" t="s">
        <v>209</v>
      </c>
      <c r="F569" s="2" t="s">
        <v>216</v>
      </c>
      <c r="G569">
        <v>35</v>
      </c>
      <c r="H569">
        <v>37</v>
      </c>
      <c r="I569" s="10">
        <v>0.94594594594594594</v>
      </c>
    </row>
    <row r="570" spans="1:9" ht="30" x14ac:dyDescent="0.25">
      <c r="A570" s="11" t="s">
        <v>146</v>
      </c>
      <c r="B570">
        <v>2025</v>
      </c>
      <c r="C570" t="s">
        <v>626</v>
      </c>
      <c r="D570" t="s">
        <v>11</v>
      </c>
      <c r="E570" t="s">
        <v>273</v>
      </c>
      <c r="F570" s="2" t="s">
        <v>274</v>
      </c>
      <c r="G570">
        <v>68</v>
      </c>
      <c r="H570">
        <v>78</v>
      </c>
      <c r="I570" s="10">
        <v>0.87179487179487181</v>
      </c>
    </row>
    <row r="571" spans="1:9" ht="30" x14ac:dyDescent="0.25">
      <c r="A571" s="11" t="s">
        <v>149</v>
      </c>
      <c r="B571">
        <v>2025</v>
      </c>
      <c r="C571" t="s">
        <v>139</v>
      </c>
      <c r="D571" t="s">
        <v>11</v>
      </c>
      <c r="E571" t="s">
        <v>21</v>
      </c>
      <c r="F571" s="2" t="s">
        <v>247</v>
      </c>
      <c r="G571">
        <v>89</v>
      </c>
      <c r="H571">
        <v>95</v>
      </c>
      <c r="I571" s="10">
        <v>0.93684210526315792</v>
      </c>
    </row>
    <row r="572" spans="1:9" ht="30" x14ac:dyDescent="0.25">
      <c r="A572" s="11" t="s">
        <v>149</v>
      </c>
      <c r="B572">
        <v>2025</v>
      </c>
      <c r="C572" t="s">
        <v>140</v>
      </c>
      <c r="D572" t="s">
        <v>11</v>
      </c>
      <c r="E572" t="s">
        <v>21</v>
      </c>
      <c r="F572" s="2" t="s">
        <v>247</v>
      </c>
      <c r="G572">
        <v>56</v>
      </c>
      <c r="H572">
        <v>63</v>
      </c>
      <c r="I572" s="10">
        <v>0.88888888888888884</v>
      </c>
    </row>
    <row r="573" spans="1:9" ht="30" x14ac:dyDescent="0.25">
      <c r="A573" s="11" t="s">
        <v>149</v>
      </c>
      <c r="B573">
        <v>2025</v>
      </c>
      <c r="C573" t="s">
        <v>626</v>
      </c>
      <c r="D573" t="s">
        <v>11</v>
      </c>
      <c r="E573" t="s">
        <v>21</v>
      </c>
      <c r="F573" s="2" t="s">
        <v>247</v>
      </c>
      <c r="G573">
        <v>75</v>
      </c>
      <c r="H573">
        <v>83</v>
      </c>
      <c r="I573" s="10">
        <v>0.90361445783132532</v>
      </c>
    </row>
    <row r="574" spans="1:9" ht="30" x14ac:dyDescent="0.25">
      <c r="A574" s="11" t="s">
        <v>149</v>
      </c>
      <c r="B574">
        <v>2025</v>
      </c>
      <c r="C574" t="s">
        <v>630</v>
      </c>
      <c r="D574" t="s">
        <v>11</v>
      </c>
      <c r="E574" t="s">
        <v>21</v>
      </c>
      <c r="F574" s="2" t="s">
        <v>247</v>
      </c>
      <c r="G574">
        <v>82</v>
      </c>
      <c r="H574">
        <v>86</v>
      </c>
      <c r="I574" s="10">
        <v>0.95348837209302328</v>
      </c>
    </row>
    <row r="575" spans="1:9" ht="30" x14ac:dyDescent="0.25">
      <c r="A575" s="11" t="s">
        <v>149</v>
      </c>
      <c r="B575">
        <v>2025</v>
      </c>
      <c r="C575" t="s">
        <v>142</v>
      </c>
      <c r="D575" t="s">
        <v>11</v>
      </c>
      <c r="E575" t="s">
        <v>21</v>
      </c>
      <c r="F575" s="2" t="s">
        <v>247</v>
      </c>
      <c r="G575">
        <v>113</v>
      </c>
      <c r="H575">
        <v>115</v>
      </c>
      <c r="I575" s="10">
        <v>0.9826086956521739</v>
      </c>
    </row>
    <row r="576" spans="1:9" x14ac:dyDescent="0.25">
      <c r="A576" s="11" t="s">
        <v>145</v>
      </c>
      <c r="B576">
        <v>2025</v>
      </c>
      <c r="C576" t="s">
        <v>626</v>
      </c>
      <c r="D576" t="s">
        <v>14</v>
      </c>
      <c r="E576" t="s">
        <v>315</v>
      </c>
      <c r="F576" s="2" t="s">
        <v>44</v>
      </c>
      <c r="G576">
        <v>28</v>
      </c>
      <c r="H576">
        <v>30</v>
      </c>
      <c r="I576" s="10">
        <v>0.93333333333333335</v>
      </c>
    </row>
    <row r="577" spans="1:9" ht="30" x14ac:dyDescent="0.25">
      <c r="A577" s="11" t="s">
        <v>146</v>
      </c>
      <c r="B577">
        <v>2025</v>
      </c>
      <c r="C577" t="s">
        <v>626</v>
      </c>
      <c r="D577" t="s">
        <v>14</v>
      </c>
      <c r="E577" t="s">
        <v>315</v>
      </c>
      <c r="F577" s="2" t="s">
        <v>317</v>
      </c>
      <c r="G577">
        <v>29</v>
      </c>
      <c r="H577">
        <v>33</v>
      </c>
      <c r="I577" s="10">
        <v>0.87878787878787878</v>
      </c>
    </row>
    <row r="578" spans="1:9" ht="30" x14ac:dyDescent="0.25">
      <c r="A578" s="11" t="s">
        <v>147</v>
      </c>
      <c r="B578">
        <v>2025</v>
      </c>
      <c r="C578" t="s">
        <v>626</v>
      </c>
      <c r="D578" t="s">
        <v>14</v>
      </c>
      <c r="E578" t="s">
        <v>315</v>
      </c>
      <c r="F578" s="2" t="s">
        <v>336</v>
      </c>
      <c r="G578">
        <v>22</v>
      </c>
      <c r="H578">
        <v>24</v>
      </c>
      <c r="I578" s="10">
        <v>0.91666666666666663</v>
      </c>
    </row>
    <row r="579" spans="1:9" ht="30" x14ac:dyDescent="0.25">
      <c r="A579" s="11" t="s">
        <v>148</v>
      </c>
      <c r="B579">
        <v>2025</v>
      </c>
      <c r="C579" t="s">
        <v>626</v>
      </c>
      <c r="D579" t="s">
        <v>14</v>
      </c>
      <c r="E579" t="s">
        <v>315</v>
      </c>
      <c r="F579" s="2" t="s">
        <v>329</v>
      </c>
      <c r="G579">
        <v>30</v>
      </c>
      <c r="H579">
        <v>33</v>
      </c>
      <c r="I579" s="10">
        <v>0.90909090909090906</v>
      </c>
    </row>
    <row r="580" spans="1:9" ht="30" x14ac:dyDescent="0.25">
      <c r="A580" s="11" t="s">
        <v>143</v>
      </c>
      <c r="B580">
        <v>2025</v>
      </c>
      <c r="C580" t="s">
        <v>626</v>
      </c>
      <c r="D580" t="s">
        <v>14</v>
      </c>
      <c r="E580" t="s">
        <v>315</v>
      </c>
      <c r="F580" s="2" t="s">
        <v>323</v>
      </c>
      <c r="G580">
        <v>28</v>
      </c>
      <c r="H580">
        <v>32</v>
      </c>
      <c r="I580" s="10">
        <v>0.875</v>
      </c>
    </row>
    <row r="581" spans="1:9" ht="30" x14ac:dyDescent="0.25">
      <c r="A581" s="11" t="s">
        <v>144</v>
      </c>
      <c r="B581">
        <v>2025</v>
      </c>
      <c r="C581" t="s">
        <v>626</v>
      </c>
      <c r="D581" t="s">
        <v>14</v>
      </c>
      <c r="E581" t="s">
        <v>315</v>
      </c>
      <c r="F581" s="2" t="s">
        <v>326</v>
      </c>
      <c r="G581">
        <v>26</v>
      </c>
      <c r="H581">
        <v>28</v>
      </c>
      <c r="I581" s="10">
        <v>0.9285714285714286</v>
      </c>
    </row>
    <row r="582" spans="1:9" ht="30" x14ac:dyDescent="0.25">
      <c r="A582" s="11" t="s">
        <v>153</v>
      </c>
      <c r="B582">
        <v>2025</v>
      </c>
      <c r="C582" t="s">
        <v>626</v>
      </c>
      <c r="D582" t="s">
        <v>14</v>
      </c>
      <c r="E582" t="s">
        <v>315</v>
      </c>
      <c r="F582" s="2" t="s">
        <v>46</v>
      </c>
      <c r="G582">
        <v>32</v>
      </c>
      <c r="H582">
        <v>32</v>
      </c>
      <c r="I582" s="10">
        <v>1</v>
      </c>
    </row>
    <row r="583" spans="1:9" ht="30" x14ac:dyDescent="0.25">
      <c r="A583" s="11" t="s">
        <v>127</v>
      </c>
      <c r="B583">
        <v>2025</v>
      </c>
      <c r="C583" t="s">
        <v>626</v>
      </c>
      <c r="D583" t="s">
        <v>14</v>
      </c>
      <c r="E583" t="s">
        <v>315</v>
      </c>
      <c r="F583" s="2" t="s">
        <v>332</v>
      </c>
      <c r="G583">
        <v>34</v>
      </c>
      <c r="H583">
        <v>34</v>
      </c>
      <c r="I583" s="10">
        <v>1</v>
      </c>
    </row>
    <row r="584" spans="1:9" ht="30" x14ac:dyDescent="0.25">
      <c r="A584" s="11" t="s">
        <v>159</v>
      </c>
      <c r="B584">
        <v>2025</v>
      </c>
      <c r="C584" t="s">
        <v>626</v>
      </c>
      <c r="D584" t="s">
        <v>14</v>
      </c>
      <c r="E584" t="s">
        <v>315</v>
      </c>
      <c r="F584" s="2" t="s">
        <v>332</v>
      </c>
      <c r="G584">
        <v>33</v>
      </c>
      <c r="H584">
        <v>33</v>
      </c>
      <c r="I584" s="10">
        <v>1</v>
      </c>
    </row>
    <row r="585" spans="1:9" ht="30" x14ac:dyDescent="0.25">
      <c r="A585" s="11" t="s">
        <v>149</v>
      </c>
      <c r="B585">
        <v>2025</v>
      </c>
      <c r="C585" t="s">
        <v>626</v>
      </c>
      <c r="D585" t="s">
        <v>14</v>
      </c>
      <c r="E585" t="s">
        <v>315</v>
      </c>
      <c r="F585" s="2" t="s">
        <v>333</v>
      </c>
      <c r="G585">
        <v>31</v>
      </c>
      <c r="H585">
        <v>32</v>
      </c>
      <c r="I585" s="10">
        <v>0.96875</v>
      </c>
    </row>
    <row r="586" spans="1:9" ht="30" x14ac:dyDescent="0.25">
      <c r="A586" s="11" t="s">
        <v>152</v>
      </c>
      <c r="B586">
        <v>2025</v>
      </c>
      <c r="C586" t="s">
        <v>626</v>
      </c>
      <c r="D586" t="s">
        <v>14</v>
      </c>
      <c r="E586" t="s">
        <v>315</v>
      </c>
      <c r="F586" s="2" t="s">
        <v>344</v>
      </c>
      <c r="G586">
        <v>32</v>
      </c>
      <c r="H586">
        <v>35</v>
      </c>
      <c r="I586" s="10">
        <v>0.91428571428571426</v>
      </c>
    </row>
    <row r="587" spans="1:9" ht="30" x14ac:dyDescent="0.25">
      <c r="A587" s="11" t="s">
        <v>151</v>
      </c>
      <c r="B587">
        <v>2025</v>
      </c>
      <c r="C587" t="s">
        <v>626</v>
      </c>
      <c r="D587" t="s">
        <v>14</v>
      </c>
      <c r="E587" t="s">
        <v>315</v>
      </c>
      <c r="F587" s="2" t="s">
        <v>339</v>
      </c>
      <c r="G587">
        <v>26</v>
      </c>
      <c r="H587">
        <v>27</v>
      </c>
      <c r="I587" s="10">
        <v>0.96296296296296291</v>
      </c>
    </row>
    <row r="588" spans="1:9" ht="30" x14ac:dyDescent="0.25">
      <c r="A588" s="11" t="s">
        <v>129</v>
      </c>
      <c r="B588">
        <v>2025</v>
      </c>
      <c r="C588" t="s">
        <v>626</v>
      </c>
      <c r="D588" t="s">
        <v>14</v>
      </c>
      <c r="E588" t="s">
        <v>315</v>
      </c>
      <c r="F588" s="2" t="s">
        <v>341</v>
      </c>
      <c r="G588">
        <v>14</v>
      </c>
      <c r="H588">
        <v>14</v>
      </c>
      <c r="I588" s="10">
        <v>1</v>
      </c>
    </row>
    <row r="589" spans="1:9" ht="30" x14ac:dyDescent="0.25">
      <c r="A589" s="11" t="s">
        <v>159</v>
      </c>
      <c r="B589">
        <v>2025</v>
      </c>
      <c r="C589" t="s">
        <v>630</v>
      </c>
      <c r="D589" t="s">
        <v>11</v>
      </c>
      <c r="E589" t="s">
        <v>21</v>
      </c>
      <c r="F589" s="2" t="s">
        <v>245</v>
      </c>
      <c r="G589">
        <v>16</v>
      </c>
      <c r="H589">
        <v>17</v>
      </c>
      <c r="I589" s="10">
        <v>0.94117647058823528</v>
      </c>
    </row>
    <row r="590" spans="1:9" ht="30" x14ac:dyDescent="0.25">
      <c r="A590" s="11" t="s">
        <v>159</v>
      </c>
      <c r="B590">
        <v>2025</v>
      </c>
      <c r="C590" t="s">
        <v>142</v>
      </c>
      <c r="D590" t="s">
        <v>11</v>
      </c>
      <c r="E590" t="s">
        <v>21</v>
      </c>
      <c r="F590" s="2" t="s">
        <v>245</v>
      </c>
      <c r="G590">
        <v>14</v>
      </c>
      <c r="H590">
        <v>14</v>
      </c>
      <c r="I590" s="10">
        <v>1</v>
      </c>
    </row>
    <row r="591" spans="1:9" ht="30" x14ac:dyDescent="0.25">
      <c r="A591" s="11" t="s">
        <v>159</v>
      </c>
      <c r="B591">
        <v>2025</v>
      </c>
      <c r="C591" t="s">
        <v>627</v>
      </c>
      <c r="D591" t="s">
        <v>11</v>
      </c>
      <c r="E591" t="s">
        <v>21</v>
      </c>
      <c r="F591" s="2" t="s">
        <v>245</v>
      </c>
      <c r="G591">
        <v>15</v>
      </c>
      <c r="H591">
        <v>15</v>
      </c>
      <c r="I591" s="10">
        <v>1</v>
      </c>
    </row>
    <row r="592" spans="1:9" ht="30" x14ac:dyDescent="0.25">
      <c r="A592" s="11" t="s">
        <v>146</v>
      </c>
      <c r="B592">
        <v>2025</v>
      </c>
      <c r="C592" t="s">
        <v>627</v>
      </c>
      <c r="D592" t="s">
        <v>11</v>
      </c>
      <c r="E592" t="s">
        <v>261</v>
      </c>
      <c r="F592" s="2" t="s">
        <v>262</v>
      </c>
      <c r="G592">
        <v>39</v>
      </c>
      <c r="H592">
        <v>39</v>
      </c>
      <c r="I592" s="10">
        <v>1</v>
      </c>
    </row>
    <row r="593" spans="1:9" ht="30" x14ac:dyDescent="0.25">
      <c r="A593" s="11" t="s">
        <v>146</v>
      </c>
      <c r="B593">
        <v>2025</v>
      </c>
      <c r="C593" t="s">
        <v>627</v>
      </c>
      <c r="D593" t="s">
        <v>11</v>
      </c>
      <c r="E593" t="s">
        <v>209</v>
      </c>
      <c r="F593" s="2" t="s">
        <v>216</v>
      </c>
      <c r="G593">
        <v>38</v>
      </c>
      <c r="H593">
        <v>38</v>
      </c>
      <c r="I593" s="10">
        <v>1</v>
      </c>
    </row>
    <row r="594" spans="1:9" ht="30" x14ac:dyDescent="0.25">
      <c r="A594" s="11" t="s">
        <v>146</v>
      </c>
      <c r="B594">
        <v>2025</v>
      </c>
      <c r="C594" t="s">
        <v>627</v>
      </c>
      <c r="D594" t="s">
        <v>11</v>
      </c>
      <c r="E594" t="s">
        <v>273</v>
      </c>
      <c r="F594" s="2" t="s">
        <v>274</v>
      </c>
      <c r="G594">
        <v>59</v>
      </c>
      <c r="H594">
        <v>78</v>
      </c>
      <c r="I594" s="10">
        <v>0.75641025641025639</v>
      </c>
    </row>
    <row r="595" spans="1:9" ht="30" x14ac:dyDescent="0.25">
      <c r="A595" s="11" t="s">
        <v>130</v>
      </c>
      <c r="B595">
        <v>2025</v>
      </c>
      <c r="C595" t="s">
        <v>139</v>
      </c>
      <c r="D595" t="s">
        <v>11</v>
      </c>
      <c r="E595" t="s">
        <v>21</v>
      </c>
      <c r="F595" s="2" t="s">
        <v>247</v>
      </c>
      <c r="G595">
        <v>103</v>
      </c>
      <c r="H595">
        <v>104</v>
      </c>
      <c r="I595" s="10">
        <v>0.99038461538461542</v>
      </c>
    </row>
    <row r="596" spans="1:9" ht="30" x14ac:dyDescent="0.25">
      <c r="A596" s="11" t="s">
        <v>130</v>
      </c>
      <c r="B596">
        <v>2025</v>
      </c>
      <c r="C596" t="s">
        <v>140</v>
      </c>
      <c r="D596" t="s">
        <v>11</v>
      </c>
      <c r="E596" t="s">
        <v>21</v>
      </c>
      <c r="F596" s="2" t="s">
        <v>247</v>
      </c>
      <c r="G596">
        <v>52</v>
      </c>
      <c r="H596">
        <v>53</v>
      </c>
      <c r="I596" s="10">
        <v>0.98113207547169812</v>
      </c>
    </row>
    <row r="597" spans="1:9" ht="30" x14ac:dyDescent="0.25">
      <c r="A597" s="11" t="s">
        <v>130</v>
      </c>
      <c r="B597">
        <v>2025</v>
      </c>
      <c r="C597" t="s">
        <v>626</v>
      </c>
      <c r="D597" t="s">
        <v>11</v>
      </c>
      <c r="E597" t="s">
        <v>21</v>
      </c>
      <c r="F597" s="2" t="s">
        <v>247</v>
      </c>
      <c r="G597">
        <v>82</v>
      </c>
      <c r="H597">
        <v>82</v>
      </c>
      <c r="I597" s="10">
        <v>1</v>
      </c>
    </row>
    <row r="598" spans="1:9" ht="30" x14ac:dyDescent="0.25">
      <c r="A598" s="11" t="s">
        <v>130</v>
      </c>
      <c r="B598">
        <v>2025</v>
      </c>
      <c r="C598" t="s">
        <v>630</v>
      </c>
      <c r="D598" t="s">
        <v>11</v>
      </c>
      <c r="E598" t="s">
        <v>21</v>
      </c>
      <c r="F598" s="2" t="s">
        <v>247</v>
      </c>
      <c r="G598">
        <v>91</v>
      </c>
      <c r="H598">
        <v>95</v>
      </c>
      <c r="I598" s="10">
        <v>0.95789473684210524</v>
      </c>
    </row>
    <row r="599" spans="1:9" ht="30" x14ac:dyDescent="0.25">
      <c r="A599" s="11" t="s">
        <v>130</v>
      </c>
      <c r="B599">
        <v>2025</v>
      </c>
      <c r="C599" t="s">
        <v>142</v>
      </c>
      <c r="D599" t="s">
        <v>11</v>
      </c>
      <c r="E599" t="s">
        <v>21</v>
      </c>
      <c r="F599" s="2" t="s">
        <v>247</v>
      </c>
      <c r="G599">
        <v>67</v>
      </c>
      <c r="H599">
        <v>68</v>
      </c>
      <c r="I599" s="10">
        <v>0.98529411764705888</v>
      </c>
    </row>
    <row r="600" spans="1:9" ht="30" x14ac:dyDescent="0.25">
      <c r="A600" s="11" t="s">
        <v>130</v>
      </c>
      <c r="B600">
        <v>2025</v>
      </c>
      <c r="C600" t="s">
        <v>627</v>
      </c>
      <c r="D600" t="s">
        <v>11</v>
      </c>
      <c r="E600" t="s">
        <v>21</v>
      </c>
      <c r="F600" s="2" t="s">
        <v>247</v>
      </c>
      <c r="G600">
        <v>81</v>
      </c>
      <c r="H600">
        <v>83</v>
      </c>
      <c r="I600" s="10">
        <v>0.97590361445783136</v>
      </c>
    </row>
    <row r="601" spans="1:9" ht="30" x14ac:dyDescent="0.25">
      <c r="A601" s="11" t="s">
        <v>130</v>
      </c>
      <c r="B601">
        <v>2025</v>
      </c>
      <c r="C601" t="s">
        <v>631</v>
      </c>
      <c r="D601" t="s">
        <v>11</v>
      </c>
      <c r="E601" t="s">
        <v>21</v>
      </c>
      <c r="F601" s="2" t="s">
        <v>247</v>
      </c>
      <c r="G601">
        <v>105</v>
      </c>
      <c r="H601">
        <v>105</v>
      </c>
      <c r="I601" s="10">
        <v>1</v>
      </c>
    </row>
    <row r="602" spans="1:9" ht="30" x14ac:dyDescent="0.25">
      <c r="A602" s="11" t="s">
        <v>130</v>
      </c>
      <c r="B602">
        <v>2025</v>
      </c>
      <c r="C602" t="s">
        <v>139</v>
      </c>
      <c r="D602" t="s">
        <v>11</v>
      </c>
      <c r="E602" t="s">
        <v>184</v>
      </c>
      <c r="F602" s="2" t="s">
        <v>193</v>
      </c>
      <c r="G602">
        <v>34</v>
      </c>
      <c r="H602">
        <v>35</v>
      </c>
      <c r="I602" s="10">
        <v>0.97142857142857142</v>
      </c>
    </row>
    <row r="603" spans="1:9" ht="30" x14ac:dyDescent="0.25">
      <c r="A603" s="11" t="s">
        <v>130</v>
      </c>
      <c r="B603">
        <v>2025</v>
      </c>
      <c r="C603" t="s">
        <v>140</v>
      </c>
      <c r="D603" t="s">
        <v>11</v>
      </c>
      <c r="E603" t="s">
        <v>184</v>
      </c>
      <c r="F603" s="2" t="s">
        <v>193</v>
      </c>
      <c r="G603">
        <v>23</v>
      </c>
      <c r="H603">
        <v>23</v>
      </c>
      <c r="I603" s="10">
        <v>1</v>
      </c>
    </row>
    <row r="604" spans="1:9" ht="30" x14ac:dyDescent="0.25">
      <c r="A604" s="11" t="s">
        <v>130</v>
      </c>
      <c r="B604">
        <v>2025</v>
      </c>
      <c r="C604" t="s">
        <v>626</v>
      </c>
      <c r="D604" t="s">
        <v>11</v>
      </c>
      <c r="E604" t="s">
        <v>184</v>
      </c>
      <c r="F604" s="2" t="s">
        <v>193</v>
      </c>
      <c r="G604">
        <v>24</v>
      </c>
      <c r="H604">
        <v>24</v>
      </c>
      <c r="I604" s="10">
        <v>1</v>
      </c>
    </row>
    <row r="605" spans="1:9" ht="30" x14ac:dyDescent="0.25">
      <c r="A605" s="11" t="s">
        <v>130</v>
      </c>
      <c r="B605">
        <v>2025</v>
      </c>
      <c r="C605" t="s">
        <v>630</v>
      </c>
      <c r="D605" t="s">
        <v>11</v>
      </c>
      <c r="E605" t="s">
        <v>184</v>
      </c>
      <c r="F605" s="2" t="s">
        <v>193</v>
      </c>
      <c r="G605">
        <v>28</v>
      </c>
      <c r="H605">
        <v>29</v>
      </c>
      <c r="I605" s="10">
        <v>0.96551724137931039</v>
      </c>
    </row>
    <row r="606" spans="1:9" ht="30" x14ac:dyDescent="0.25">
      <c r="A606" s="11" t="s">
        <v>130</v>
      </c>
      <c r="B606">
        <v>2025</v>
      </c>
      <c r="C606" t="s">
        <v>142</v>
      </c>
      <c r="D606" t="s">
        <v>11</v>
      </c>
      <c r="E606" t="s">
        <v>184</v>
      </c>
      <c r="F606" s="2" t="s">
        <v>193</v>
      </c>
      <c r="G606">
        <v>20</v>
      </c>
      <c r="H606">
        <v>20</v>
      </c>
      <c r="I606" s="10">
        <v>1</v>
      </c>
    </row>
    <row r="607" spans="1:9" ht="30" x14ac:dyDescent="0.25">
      <c r="A607" s="11" t="s">
        <v>130</v>
      </c>
      <c r="B607">
        <v>2025</v>
      </c>
      <c r="C607" t="s">
        <v>627</v>
      </c>
      <c r="D607" t="s">
        <v>11</v>
      </c>
      <c r="E607" t="s">
        <v>184</v>
      </c>
      <c r="F607" s="2" t="s">
        <v>193</v>
      </c>
      <c r="G607">
        <v>30</v>
      </c>
      <c r="H607">
        <v>31</v>
      </c>
      <c r="I607" s="10">
        <v>0.967741935483871</v>
      </c>
    </row>
    <row r="608" spans="1:9" ht="30" x14ac:dyDescent="0.25">
      <c r="A608" s="11" t="s">
        <v>279</v>
      </c>
      <c r="B608">
        <v>2025</v>
      </c>
      <c r="C608" t="s">
        <v>626</v>
      </c>
      <c r="D608" t="s">
        <v>11</v>
      </c>
      <c r="E608" t="s">
        <v>273</v>
      </c>
      <c r="F608" s="2" t="s">
        <v>274</v>
      </c>
      <c r="G608">
        <v>32</v>
      </c>
      <c r="H608">
        <v>39</v>
      </c>
      <c r="I608" s="10">
        <v>0.82051282051282048</v>
      </c>
    </row>
    <row r="609" spans="1:9" ht="30" x14ac:dyDescent="0.25">
      <c r="A609" s="11" t="s">
        <v>279</v>
      </c>
      <c r="B609">
        <v>2025</v>
      </c>
      <c r="C609" t="s">
        <v>627</v>
      </c>
      <c r="D609" t="s">
        <v>11</v>
      </c>
      <c r="E609" t="s">
        <v>273</v>
      </c>
      <c r="F609" s="2" t="s">
        <v>274</v>
      </c>
      <c r="G609">
        <v>34</v>
      </c>
      <c r="H609">
        <v>39</v>
      </c>
      <c r="I609" s="10">
        <v>0.87179487179487181</v>
      </c>
    </row>
    <row r="610" spans="1:9" ht="30" x14ac:dyDescent="0.25">
      <c r="A610" s="11" t="s">
        <v>149</v>
      </c>
      <c r="B610">
        <v>2025</v>
      </c>
      <c r="C610" t="s">
        <v>627</v>
      </c>
      <c r="D610" t="s">
        <v>11</v>
      </c>
      <c r="E610" t="s">
        <v>21</v>
      </c>
      <c r="F610" s="2" t="s">
        <v>247</v>
      </c>
      <c r="G610">
        <v>100</v>
      </c>
      <c r="H610">
        <v>101</v>
      </c>
      <c r="I610" s="10">
        <v>0.99009900990099009</v>
      </c>
    </row>
    <row r="611" spans="1:9" ht="30" x14ac:dyDescent="0.25">
      <c r="A611" s="11" t="s">
        <v>149</v>
      </c>
      <c r="B611">
        <v>2025</v>
      </c>
      <c r="C611" t="s">
        <v>631</v>
      </c>
      <c r="D611" t="s">
        <v>11</v>
      </c>
      <c r="E611" t="s">
        <v>21</v>
      </c>
      <c r="F611" s="2" t="s">
        <v>247</v>
      </c>
      <c r="G611">
        <v>91</v>
      </c>
      <c r="H611">
        <v>100</v>
      </c>
      <c r="I611" s="10">
        <v>0.91</v>
      </c>
    </row>
    <row r="612" spans="1:9" ht="30" x14ac:dyDescent="0.25">
      <c r="A612" s="11" t="s">
        <v>151</v>
      </c>
      <c r="B612">
        <v>2025</v>
      </c>
      <c r="C612" t="s">
        <v>626</v>
      </c>
      <c r="D612" t="s">
        <v>11</v>
      </c>
      <c r="E612" t="s">
        <v>184</v>
      </c>
      <c r="F612" s="2" t="s">
        <v>42</v>
      </c>
      <c r="G612">
        <v>9</v>
      </c>
      <c r="H612">
        <v>154</v>
      </c>
      <c r="I612" s="10">
        <v>5.844155844155844E-2</v>
      </c>
    </row>
    <row r="613" spans="1:9" ht="30" x14ac:dyDescent="0.25">
      <c r="A613" s="11" t="s">
        <v>151</v>
      </c>
      <c r="B613">
        <v>2025</v>
      </c>
      <c r="C613" t="s">
        <v>627</v>
      </c>
      <c r="D613" t="s">
        <v>11</v>
      </c>
      <c r="E613" t="s">
        <v>184</v>
      </c>
      <c r="F613" s="2" t="s">
        <v>42</v>
      </c>
      <c r="G613">
        <v>52</v>
      </c>
      <c r="H613">
        <v>177</v>
      </c>
      <c r="I613" s="10">
        <v>0.29378531073446329</v>
      </c>
    </row>
    <row r="614" spans="1:9" ht="30" x14ac:dyDescent="0.25">
      <c r="A614" s="11" t="s">
        <v>151</v>
      </c>
      <c r="B614">
        <v>2025</v>
      </c>
      <c r="C614" t="s">
        <v>626</v>
      </c>
      <c r="D614" t="s">
        <v>11</v>
      </c>
      <c r="E614" t="s">
        <v>20</v>
      </c>
      <c r="F614" s="2" t="s">
        <v>236</v>
      </c>
      <c r="G614">
        <v>17</v>
      </c>
      <c r="H614">
        <v>34</v>
      </c>
      <c r="I614" s="10">
        <v>0.5</v>
      </c>
    </row>
    <row r="615" spans="1:9" ht="30" x14ac:dyDescent="0.25">
      <c r="A615" s="11" t="s">
        <v>151</v>
      </c>
      <c r="B615">
        <v>2025</v>
      </c>
      <c r="C615" t="s">
        <v>627</v>
      </c>
      <c r="D615" t="s">
        <v>11</v>
      </c>
      <c r="E615" t="s">
        <v>20</v>
      </c>
      <c r="F615" s="2" t="s">
        <v>236</v>
      </c>
      <c r="G615">
        <v>16</v>
      </c>
      <c r="H615">
        <v>35</v>
      </c>
      <c r="I615" s="10">
        <v>0.45714285714285713</v>
      </c>
    </row>
    <row r="616" spans="1:9" ht="30" x14ac:dyDescent="0.25">
      <c r="A616" s="11" t="s">
        <v>151</v>
      </c>
      <c r="B616">
        <v>2025</v>
      </c>
      <c r="C616" t="s">
        <v>626</v>
      </c>
      <c r="D616" t="s">
        <v>11</v>
      </c>
      <c r="E616" t="s">
        <v>261</v>
      </c>
      <c r="F616" s="2" t="s">
        <v>263</v>
      </c>
      <c r="G616">
        <v>89</v>
      </c>
      <c r="H616">
        <v>258</v>
      </c>
      <c r="I616" s="10">
        <v>0.34496124031007752</v>
      </c>
    </row>
    <row r="617" spans="1:9" ht="30" x14ac:dyDescent="0.25">
      <c r="A617" s="11" t="s">
        <v>151</v>
      </c>
      <c r="B617">
        <v>2025</v>
      </c>
      <c r="C617" t="s">
        <v>627</v>
      </c>
      <c r="D617" t="s">
        <v>11</v>
      </c>
      <c r="E617" t="s">
        <v>261</v>
      </c>
      <c r="F617" s="2" t="s">
        <v>263</v>
      </c>
      <c r="G617">
        <v>136</v>
      </c>
      <c r="H617">
        <v>320</v>
      </c>
      <c r="I617" s="10">
        <v>0.42499999999999999</v>
      </c>
    </row>
    <row r="618" spans="1:9" ht="30" x14ac:dyDescent="0.25">
      <c r="A618" s="11" t="s">
        <v>151</v>
      </c>
      <c r="B618">
        <v>2025</v>
      </c>
      <c r="C618" t="s">
        <v>139</v>
      </c>
      <c r="D618" t="s">
        <v>11</v>
      </c>
      <c r="E618" t="s">
        <v>21</v>
      </c>
      <c r="F618" s="2" t="s">
        <v>247</v>
      </c>
      <c r="G618">
        <v>126</v>
      </c>
      <c r="H618">
        <v>132</v>
      </c>
      <c r="I618" s="10">
        <v>0.95454545454545459</v>
      </c>
    </row>
    <row r="619" spans="1:9" ht="30" x14ac:dyDescent="0.25">
      <c r="A619" s="11" t="s">
        <v>151</v>
      </c>
      <c r="B619">
        <v>2025</v>
      </c>
      <c r="C619" t="s">
        <v>140</v>
      </c>
      <c r="D619" t="s">
        <v>11</v>
      </c>
      <c r="E619" t="s">
        <v>21</v>
      </c>
      <c r="F619" s="2" t="s">
        <v>247</v>
      </c>
      <c r="G619">
        <v>99</v>
      </c>
      <c r="H619">
        <v>100</v>
      </c>
      <c r="I619" s="10">
        <v>0.99</v>
      </c>
    </row>
    <row r="620" spans="1:9" ht="30" x14ac:dyDescent="0.25">
      <c r="A620" s="11" t="s">
        <v>151</v>
      </c>
      <c r="B620">
        <v>2025</v>
      </c>
      <c r="C620" t="s">
        <v>626</v>
      </c>
      <c r="D620" t="s">
        <v>11</v>
      </c>
      <c r="E620" t="s">
        <v>21</v>
      </c>
      <c r="F620" s="2" t="s">
        <v>247</v>
      </c>
      <c r="G620">
        <v>84</v>
      </c>
      <c r="H620">
        <v>87</v>
      </c>
      <c r="I620" s="10">
        <v>0.96551724137931039</v>
      </c>
    </row>
    <row r="621" spans="1:9" ht="30" x14ac:dyDescent="0.25">
      <c r="A621" s="11" t="s">
        <v>151</v>
      </c>
      <c r="B621">
        <v>2025</v>
      </c>
      <c r="C621" t="s">
        <v>630</v>
      </c>
      <c r="D621" t="s">
        <v>11</v>
      </c>
      <c r="E621" t="s">
        <v>21</v>
      </c>
      <c r="F621" s="2" t="s">
        <v>247</v>
      </c>
      <c r="G621">
        <v>141</v>
      </c>
      <c r="H621">
        <v>142</v>
      </c>
      <c r="I621" s="10">
        <v>0.99295774647887325</v>
      </c>
    </row>
    <row r="622" spans="1:9" ht="30" x14ac:dyDescent="0.25">
      <c r="A622" s="11" t="s">
        <v>151</v>
      </c>
      <c r="B622">
        <v>2025</v>
      </c>
      <c r="C622" t="s">
        <v>142</v>
      </c>
      <c r="D622" t="s">
        <v>11</v>
      </c>
      <c r="E622" t="s">
        <v>21</v>
      </c>
      <c r="F622" s="2" t="s">
        <v>247</v>
      </c>
      <c r="G622">
        <v>157</v>
      </c>
      <c r="H622">
        <v>160</v>
      </c>
      <c r="I622" s="10">
        <v>0.98124999999999996</v>
      </c>
    </row>
    <row r="623" spans="1:9" ht="30" x14ac:dyDescent="0.25">
      <c r="A623" s="11" t="s">
        <v>151</v>
      </c>
      <c r="B623">
        <v>2025</v>
      </c>
      <c r="C623" t="s">
        <v>627</v>
      </c>
      <c r="D623" t="s">
        <v>11</v>
      </c>
      <c r="E623" t="s">
        <v>21</v>
      </c>
      <c r="F623" s="2" t="s">
        <v>247</v>
      </c>
      <c r="G623">
        <v>166</v>
      </c>
      <c r="H623">
        <v>167</v>
      </c>
      <c r="I623" s="10">
        <v>0.99401197604790414</v>
      </c>
    </row>
    <row r="624" spans="1:9" ht="30" x14ac:dyDescent="0.25">
      <c r="A624" s="11" t="s">
        <v>126</v>
      </c>
      <c r="B624">
        <v>2025</v>
      </c>
      <c r="C624" t="s">
        <v>626</v>
      </c>
      <c r="D624" t="s">
        <v>11</v>
      </c>
      <c r="E624" t="s">
        <v>261</v>
      </c>
      <c r="F624" s="2" t="s">
        <v>266</v>
      </c>
      <c r="G624">
        <v>280</v>
      </c>
      <c r="H624">
        <v>280</v>
      </c>
      <c r="I624" s="10">
        <v>1</v>
      </c>
    </row>
    <row r="625" spans="1:9" ht="30" x14ac:dyDescent="0.25">
      <c r="A625" s="11" t="s">
        <v>126</v>
      </c>
      <c r="B625">
        <v>2025</v>
      </c>
      <c r="C625" t="s">
        <v>627</v>
      </c>
      <c r="D625" t="s">
        <v>11</v>
      </c>
      <c r="E625" t="s">
        <v>261</v>
      </c>
      <c r="F625" s="2" t="s">
        <v>266</v>
      </c>
      <c r="G625">
        <v>252</v>
      </c>
      <c r="H625">
        <v>252</v>
      </c>
      <c r="I625" s="10">
        <v>1</v>
      </c>
    </row>
    <row r="626" spans="1:9" ht="30" x14ac:dyDescent="0.25">
      <c r="A626" s="11" t="s">
        <v>159</v>
      </c>
      <c r="B626">
        <v>2025</v>
      </c>
      <c r="C626" t="s">
        <v>627</v>
      </c>
      <c r="D626" t="s">
        <v>11</v>
      </c>
      <c r="E626" t="s">
        <v>23</v>
      </c>
      <c r="F626" s="2" t="s">
        <v>43</v>
      </c>
      <c r="G626">
        <v>38</v>
      </c>
      <c r="H626">
        <v>39</v>
      </c>
      <c r="I626" s="10">
        <v>0.97435897435897434</v>
      </c>
    </row>
    <row r="627" spans="1:9" ht="30" x14ac:dyDescent="0.25">
      <c r="A627" s="11" t="s">
        <v>159</v>
      </c>
      <c r="B627">
        <v>2025</v>
      </c>
      <c r="C627" t="s">
        <v>627</v>
      </c>
      <c r="D627" t="s">
        <v>11</v>
      </c>
      <c r="E627" t="s">
        <v>209</v>
      </c>
      <c r="F627" s="2" t="s">
        <v>210</v>
      </c>
      <c r="G627">
        <v>39</v>
      </c>
      <c r="H627">
        <v>39</v>
      </c>
      <c r="I627" s="10">
        <v>1</v>
      </c>
    </row>
    <row r="628" spans="1:9" ht="45" x14ac:dyDescent="0.25">
      <c r="A628" s="11" t="s">
        <v>159</v>
      </c>
      <c r="B628">
        <v>2025</v>
      </c>
      <c r="C628" t="s">
        <v>627</v>
      </c>
      <c r="D628" t="s">
        <v>11</v>
      </c>
      <c r="E628" t="s">
        <v>273</v>
      </c>
      <c r="F628" s="2" t="s">
        <v>284</v>
      </c>
      <c r="G628">
        <v>22</v>
      </c>
      <c r="H628">
        <v>26</v>
      </c>
      <c r="I628" s="10">
        <v>0.84615384615384615</v>
      </c>
    </row>
    <row r="629" spans="1:9" ht="30" x14ac:dyDescent="0.25">
      <c r="A629" s="11" t="s">
        <v>159</v>
      </c>
      <c r="B629">
        <v>2025</v>
      </c>
      <c r="C629" t="s">
        <v>627</v>
      </c>
      <c r="D629" t="s">
        <v>11</v>
      </c>
      <c r="E629" t="s">
        <v>184</v>
      </c>
      <c r="F629" s="2" t="s">
        <v>40</v>
      </c>
      <c r="G629">
        <v>35</v>
      </c>
      <c r="H629">
        <v>39</v>
      </c>
      <c r="I629" s="10">
        <v>0.89743589743589747</v>
      </c>
    </row>
    <row r="630" spans="1:9" ht="30" x14ac:dyDescent="0.25">
      <c r="A630" s="11" t="s">
        <v>159</v>
      </c>
      <c r="B630">
        <v>2025</v>
      </c>
      <c r="C630" t="s">
        <v>631</v>
      </c>
      <c r="D630" t="s">
        <v>11</v>
      </c>
      <c r="E630" t="s">
        <v>21</v>
      </c>
      <c r="F630" s="2" t="s">
        <v>245</v>
      </c>
      <c r="G630">
        <v>12</v>
      </c>
      <c r="H630">
        <v>12</v>
      </c>
      <c r="I630" s="10">
        <v>1</v>
      </c>
    </row>
    <row r="631" spans="1:9" ht="30" x14ac:dyDescent="0.25">
      <c r="A631" s="11" t="s">
        <v>440</v>
      </c>
      <c r="B631">
        <v>2025</v>
      </c>
      <c r="C631" t="s">
        <v>626</v>
      </c>
      <c r="D631" t="s">
        <v>15</v>
      </c>
      <c r="E631" t="s">
        <v>439</v>
      </c>
      <c r="F631" s="2" t="s">
        <v>50</v>
      </c>
      <c r="G631">
        <v>20931</v>
      </c>
      <c r="H631">
        <v>23152</v>
      </c>
      <c r="I631" s="10">
        <v>0.90406876295784377</v>
      </c>
    </row>
    <row r="632" spans="1:9" ht="30" x14ac:dyDescent="0.25">
      <c r="A632" s="11" t="s">
        <v>440</v>
      </c>
      <c r="B632">
        <v>2025</v>
      </c>
      <c r="C632" t="s">
        <v>627</v>
      </c>
      <c r="D632" t="s">
        <v>15</v>
      </c>
      <c r="E632" t="s">
        <v>439</v>
      </c>
      <c r="F632" s="2" t="s">
        <v>50</v>
      </c>
      <c r="G632">
        <v>19770</v>
      </c>
      <c r="H632">
        <v>22870</v>
      </c>
      <c r="I632" s="10">
        <v>0.86445124617402713</v>
      </c>
    </row>
    <row r="633" spans="1:9" ht="30" x14ac:dyDescent="0.25">
      <c r="A633" s="11" t="s">
        <v>441</v>
      </c>
      <c r="B633">
        <v>2025</v>
      </c>
      <c r="C633" t="s">
        <v>626</v>
      </c>
      <c r="D633" t="s">
        <v>15</v>
      </c>
      <c r="E633" t="s">
        <v>439</v>
      </c>
      <c r="F633" s="2" t="s">
        <v>49</v>
      </c>
      <c r="G633">
        <v>13806</v>
      </c>
      <c r="H633">
        <v>15231</v>
      </c>
      <c r="I633" s="10">
        <v>0.90644081150285605</v>
      </c>
    </row>
    <row r="634" spans="1:9" ht="30" x14ac:dyDescent="0.25">
      <c r="A634" s="11" t="s">
        <v>441</v>
      </c>
      <c r="B634">
        <v>2025</v>
      </c>
      <c r="C634" t="s">
        <v>627</v>
      </c>
      <c r="D634" t="s">
        <v>15</v>
      </c>
      <c r="E634" t="s">
        <v>439</v>
      </c>
      <c r="F634" s="2" t="s">
        <v>49</v>
      </c>
      <c r="G634">
        <v>14058</v>
      </c>
      <c r="H634">
        <v>15696</v>
      </c>
      <c r="I634" s="10">
        <v>0.89564220183486243</v>
      </c>
    </row>
    <row r="635" spans="1:9" ht="30" x14ac:dyDescent="0.25">
      <c r="A635" s="11" t="s">
        <v>442</v>
      </c>
      <c r="B635">
        <v>2025</v>
      </c>
      <c r="C635" t="s">
        <v>626</v>
      </c>
      <c r="D635" t="s">
        <v>15</v>
      </c>
      <c r="E635" t="s">
        <v>439</v>
      </c>
      <c r="F635" s="2" t="s">
        <v>443</v>
      </c>
      <c r="G635">
        <v>301</v>
      </c>
      <c r="H635">
        <v>313</v>
      </c>
      <c r="I635" s="10">
        <v>0.96166134185303509</v>
      </c>
    </row>
    <row r="636" spans="1:9" ht="30" x14ac:dyDescent="0.25">
      <c r="A636" s="11" t="s">
        <v>442</v>
      </c>
      <c r="B636">
        <v>2025</v>
      </c>
      <c r="C636" t="s">
        <v>627</v>
      </c>
      <c r="D636" t="s">
        <v>15</v>
      </c>
      <c r="E636" t="s">
        <v>439</v>
      </c>
      <c r="F636" s="2" t="s">
        <v>443</v>
      </c>
      <c r="G636">
        <v>338</v>
      </c>
      <c r="H636">
        <v>350</v>
      </c>
      <c r="I636" s="10">
        <v>0.96571428571428575</v>
      </c>
    </row>
    <row r="637" spans="1:9" ht="30" x14ac:dyDescent="0.25">
      <c r="A637" s="11" t="s">
        <v>302</v>
      </c>
      <c r="B637">
        <v>2025</v>
      </c>
      <c r="C637" t="s">
        <v>626</v>
      </c>
      <c r="D637" t="s">
        <v>12</v>
      </c>
      <c r="E637" t="s">
        <v>301</v>
      </c>
      <c r="F637" s="2" t="s">
        <v>303</v>
      </c>
      <c r="G637">
        <v>5139</v>
      </c>
      <c r="H637">
        <v>5821</v>
      </c>
      <c r="I637" s="10">
        <v>0.88283800034358362</v>
      </c>
    </row>
    <row r="638" spans="1:9" ht="30" x14ac:dyDescent="0.25">
      <c r="A638" s="11" t="s">
        <v>302</v>
      </c>
      <c r="B638">
        <v>2025</v>
      </c>
      <c r="C638" t="s">
        <v>627</v>
      </c>
      <c r="D638" t="s">
        <v>12</v>
      </c>
      <c r="E638" t="s">
        <v>301</v>
      </c>
      <c r="F638" s="2" t="s">
        <v>303</v>
      </c>
      <c r="G638">
        <v>5224</v>
      </c>
      <c r="H638">
        <v>5886</v>
      </c>
      <c r="I638" s="10">
        <v>0.88752973156642878</v>
      </c>
    </row>
    <row r="639" spans="1:9" ht="30" x14ac:dyDescent="0.25">
      <c r="A639" s="11" t="s">
        <v>132</v>
      </c>
      <c r="B639">
        <v>2025</v>
      </c>
      <c r="C639" t="s">
        <v>630</v>
      </c>
      <c r="D639" t="s">
        <v>11</v>
      </c>
      <c r="E639" t="s">
        <v>184</v>
      </c>
      <c r="F639" s="2" t="s">
        <v>199</v>
      </c>
      <c r="G639">
        <v>36</v>
      </c>
      <c r="H639">
        <v>36</v>
      </c>
      <c r="I639" s="10">
        <v>1</v>
      </c>
    </row>
    <row r="640" spans="1:9" ht="30" x14ac:dyDescent="0.25">
      <c r="A640" s="11" t="s">
        <v>126</v>
      </c>
      <c r="B640">
        <v>2025</v>
      </c>
      <c r="C640" t="s">
        <v>139</v>
      </c>
      <c r="D640" t="s">
        <v>14</v>
      </c>
      <c r="E640" t="s">
        <v>353</v>
      </c>
      <c r="F640" s="2" t="s">
        <v>357</v>
      </c>
      <c r="G640">
        <v>178</v>
      </c>
      <c r="H640">
        <v>261</v>
      </c>
      <c r="I640" s="10">
        <v>0.68199233716475094</v>
      </c>
    </row>
    <row r="641" spans="1:9" ht="30" x14ac:dyDescent="0.25">
      <c r="A641" s="11" t="s">
        <v>126</v>
      </c>
      <c r="B641">
        <v>2025</v>
      </c>
      <c r="C641" t="s">
        <v>140</v>
      </c>
      <c r="D641" t="s">
        <v>14</v>
      </c>
      <c r="E641" t="s">
        <v>353</v>
      </c>
      <c r="F641" s="2" t="s">
        <v>357</v>
      </c>
      <c r="G641">
        <v>226</v>
      </c>
      <c r="H641">
        <v>228</v>
      </c>
      <c r="I641" s="10">
        <v>0.99122807017543857</v>
      </c>
    </row>
    <row r="642" spans="1:9" ht="30" x14ac:dyDescent="0.25">
      <c r="A642" s="11" t="s">
        <v>126</v>
      </c>
      <c r="B642">
        <v>2025</v>
      </c>
      <c r="C642" t="s">
        <v>626</v>
      </c>
      <c r="D642" t="s">
        <v>14</v>
      </c>
      <c r="E642" t="s">
        <v>353</v>
      </c>
      <c r="F642" s="2" t="s">
        <v>357</v>
      </c>
      <c r="G642">
        <v>235</v>
      </c>
      <c r="H642">
        <v>310</v>
      </c>
      <c r="I642" s="10">
        <v>0.75806451612903225</v>
      </c>
    </row>
    <row r="643" spans="1:9" ht="30" x14ac:dyDescent="0.25">
      <c r="A643" s="11" t="s">
        <v>126</v>
      </c>
      <c r="B643">
        <v>2025</v>
      </c>
      <c r="C643" t="s">
        <v>630</v>
      </c>
      <c r="D643" t="s">
        <v>14</v>
      </c>
      <c r="E643" t="s">
        <v>353</v>
      </c>
      <c r="F643" s="2" t="s">
        <v>357</v>
      </c>
      <c r="G643">
        <v>154</v>
      </c>
      <c r="H643">
        <v>239</v>
      </c>
      <c r="I643" s="10">
        <v>0.64435146443514646</v>
      </c>
    </row>
    <row r="644" spans="1:9" ht="30" x14ac:dyDescent="0.25">
      <c r="A644" s="11" t="s">
        <v>126</v>
      </c>
      <c r="B644">
        <v>2025</v>
      </c>
      <c r="C644" t="s">
        <v>142</v>
      </c>
      <c r="D644" t="s">
        <v>14</v>
      </c>
      <c r="E644" t="s">
        <v>353</v>
      </c>
      <c r="F644" s="2" t="s">
        <v>357</v>
      </c>
      <c r="G644">
        <v>203</v>
      </c>
      <c r="H644">
        <v>282</v>
      </c>
      <c r="I644" s="10">
        <v>0.71985815602836878</v>
      </c>
    </row>
    <row r="645" spans="1:9" ht="30" x14ac:dyDescent="0.25">
      <c r="A645" s="11" t="s">
        <v>126</v>
      </c>
      <c r="B645">
        <v>2025</v>
      </c>
      <c r="C645" t="s">
        <v>627</v>
      </c>
      <c r="D645" t="s">
        <v>14</v>
      </c>
      <c r="E645" t="s">
        <v>353</v>
      </c>
      <c r="F645" s="2" t="s">
        <v>357</v>
      </c>
      <c r="G645">
        <v>168</v>
      </c>
      <c r="H645">
        <v>181</v>
      </c>
      <c r="I645" s="10">
        <v>0.92817679558011046</v>
      </c>
    </row>
    <row r="646" spans="1:9" ht="30" x14ac:dyDescent="0.25">
      <c r="A646" s="11" t="s">
        <v>126</v>
      </c>
      <c r="B646">
        <v>2025</v>
      </c>
      <c r="C646" t="s">
        <v>631</v>
      </c>
      <c r="D646" t="s">
        <v>14</v>
      </c>
      <c r="E646" t="s">
        <v>353</v>
      </c>
      <c r="F646" s="2" t="s">
        <v>357</v>
      </c>
      <c r="G646">
        <v>210</v>
      </c>
      <c r="H646">
        <v>273</v>
      </c>
      <c r="I646" s="10">
        <v>0.76923076923076927</v>
      </c>
    </row>
    <row r="647" spans="1:9" ht="30" x14ac:dyDescent="0.25">
      <c r="A647" s="11" t="s">
        <v>126</v>
      </c>
      <c r="B647">
        <v>2025</v>
      </c>
      <c r="C647" t="s">
        <v>632</v>
      </c>
      <c r="D647" t="s">
        <v>14</v>
      </c>
      <c r="E647" t="s">
        <v>353</v>
      </c>
      <c r="F647" s="2" t="s">
        <v>357</v>
      </c>
      <c r="G647">
        <v>210</v>
      </c>
      <c r="H647">
        <v>210</v>
      </c>
      <c r="I647" s="10">
        <v>1</v>
      </c>
    </row>
    <row r="648" spans="1:9" ht="30" x14ac:dyDescent="0.25">
      <c r="A648" s="11" t="s">
        <v>130</v>
      </c>
      <c r="B648">
        <v>2025</v>
      </c>
      <c r="C648" t="s">
        <v>626</v>
      </c>
      <c r="D648" t="s">
        <v>9</v>
      </c>
      <c r="E648" t="s">
        <v>16</v>
      </c>
      <c r="F648" s="2" t="s">
        <v>621</v>
      </c>
      <c r="G648">
        <v>1</v>
      </c>
      <c r="H648">
        <v>1</v>
      </c>
      <c r="I648" s="10">
        <v>1</v>
      </c>
    </row>
    <row r="649" spans="1:9" ht="30" x14ac:dyDescent="0.25">
      <c r="A649" s="11" t="s">
        <v>130</v>
      </c>
      <c r="B649">
        <v>2025</v>
      </c>
      <c r="C649" t="s">
        <v>139</v>
      </c>
      <c r="D649" t="s">
        <v>9</v>
      </c>
      <c r="E649" t="s">
        <v>16</v>
      </c>
      <c r="F649" s="2" t="s">
        <v>621</v>
      </c>
      <c r="G649">
        <v>1</v>
      </c>
      <c r="H649">
        <v>2</v>
      </c>
      <c r="I649" s="10">
        <v>0.5</v>
      </c>
    </row>
    <row r="650" spans="1:9" ht="30" x14ac:dyDescent="0.25">
      <c r="A650" s="11" t="s">
        <v>130</v>
      </c>
      <c r="B650">
        <v>2025</v>
      </c>
      <c r="C650" t="s">
        <v>140</v>
      </c>
      <c r="D650" t="s">
        <v>9</v>
      </c>
      <c r="E650" t="s">
        <v>16</v>
      </c>
      <c r="F650" s="2" t="s">
        <v>621</v>
      </c>
      <c r="G650">
        <v>1</v>
      </c>
      <c r="H650">
        <v>1</v>
      </c>
      <c r="I650" s="10">
        <v>1</v>
      </c>
    </row>
    <row r="651" spans="1:9" ht="30" x14ac:dyDescent="0.25">
      <c r="A651" s="11" t="s">
        <v>150</v>
      </c>
      <c r="B651">
        <v>2025</v>
      </c>
      <c r="C651" t="s">
        <v>139</v>
      </c>
      <c r="D651" t="s">
        <v>9</v>
      </c>
      <c r="E651" t="s">
        <v>16</v>
      </c>
      <c r="F651" s="2" t="s">
        <v>621</v>
      </c>
      <c r="G651">
        <v>0</v>
      </c>
      <c r="H651">
        <v>0</v>
      </c>
    </row>
    <row r="652" spans="1:9" ht="30" x14ac:dyDescent="0.25">
      <c r="A652" s="11" t="s">
        <v>150</v>
      </c>
      <c r="B652">
        <v>2025</v>
      </c>
      <c r="C652" t="s">
        <v>140</v>
      </c>
      <c r="D652" t="s">
        <v>9</v>
      </c>
      <c r="E652" t="s">
        <v>16</v>
      </c>
      <c r="F652" s="2" t="s">
        <v>621</v>
      </c>
      <c r="G652">
        <v>2</v>
      </c>
      <c r="H652">
        <v>2</v>
      </c>
      <c r="I652" s="10">
        <v>1</v>
      </c>
    </row>
    <row r="653" spans="1:9" ht="30" x14ac:dyDescent="0.25">
      <c r="A653" s="11" t="s">
        <v>150</v>
      </c>
      <c r="B653">
        <v>2025</v>
      </c>
      <c r="C653" t="s">
        <v>626</v>
      </c>
      <c r="D653" t="s">
        <v>9</v>
      </c>
      <c r="E653" t="s">
        <v>16</v>
      </c>
      <c r="F653" s="2" t="s">
        <v>621</v>
      </c>
      <c r="G653">
        <v>1</v>
      </c>
      <c r="H653">
        <v>1</v>
      </c>
      <c r="I653" s="10">
        <v>1</v>
      </c>
    </row>
    <row r="654" spans="1:9" ht="30" x14ac:dyDescent="0.25">
      <c r="A654" s="11" t="s">
        <v>148</v>
      </c>
      <c r="B654">
        <v>2025</v>
      </c>
      <c r="C654" t="s">
        <v>139</v>
      </c>
      <c r="D654" t="s">
        <v>9</v>
      </c>
      <c r="E654" t="s">
        <v>16</v>
      </c>
      <c r="F654" s="2" t="s">
        <v>621</v>
      </c>
      <c r="G654">
        <v>3</v>
      </c>
      <c r="H654">
        <v>6</v>
      </c>
      <c r="I654" s="10">
        <v>0.5</v>
      </c>
    </row>
    <row r="655" spans="1:9" ht="30" x14ac:dyDescent="0.25">
      <c r="A655" s="11" t="s">
        <v>148</v>
      </c>
      <c r="B655">
        <v>2025</v>
      </c>
      <c r="C655" t="s">
        <v>140</v>
      </c>
      <c r="D655" t="s">
        <v>9</v>
      </c>
      <c r="E655" t="s">
        <v>16</v>
      </c>
      <c r="F655" s="2" t="s">
        <v>621</v>
      </c>
      <c r="G655">
        <v>4</v>
      </c>
      <c r="H655">
        <v>4</v>
      </c>
      <c r="I655" s="10">
        <v>1</v>
      </c>
    </row>
    <row r="656" spans="1:9" ht="30" x14ac:dyDescent="0.25">
      <c r="A656" s="11" t="s">
        <v>148</v>
      </c>
      <c r="B656">
        <v>2025</v>
      </c>
      <c r="C656" t="s">
        <v>626</v>
      </c>
      <c r="D656" t="s">
        <v>9</v>
      </c>
      <c r="E656" t="s">
        <v>16</v>
      </c>
      <c r="F656" s="2" t="s">
        <v>621</v>
      </c>
      <c r="G656">
        <v>2</v>
      </c>
      <c r="H656">
        <v>3</v>
      </c>
      <c r="I656" s="10">
        <v>0.66666666666666663</v>
      </c>
    </row>
    <row r="657" spans="1:9" ht="30" x14ac:dyDescent="0.25">
      <c r="A657" s="11" t="s">
        <v>131</v>
      </c>
      <c r="B657">
        <v>2025</v>
      </c>
      <c r="C657" t="s">
        <v>139</v>
      </c>
      <c r="D657" t="s">
        <v>9</v>
      </c>
      <c r="E657" t="s">
        <v>16</v>
      </c>
      <c r="F657" s="2" t="s">
        <v>621</v>
      </c>
      <c r="G657">
        <v>13</v>
      </c>
      <c r="H657">
        <v>13</v>
      </c>
      <c r="I657" s="10">
        <v>1</v>
      </c>
    </row>
    <row r="658" spans="1:9" ht="30" x14ac:dyDescent="0.25">
      <c r="A658" s="11" t="s">
        <v>131</v>
      </c>
      <c r="B658">
        <v>2025</v>
      </c>
      <c r="C658" t="s">
        <v>140</v>
      </c>
      <c r="D658" t="s">
        <v>9</v>
      </c>
      <c r="E658" t="s">
        <v>16</v>
      </c>
      <c r="F658" s="2" t="s">
        <v>621</v>
      </c>
      <c r="G658">
        <v>7</v>
      </c>
      <c r="H658">
        <v>7</v>
      </c>
      <c r="I658" s="10">
        <v>1</v>
      </c>
    </row>
    <row r="659" spans="1:9" ht="30" x14ac:dyDescent="0.25">
      <c r="A659" s="11" t="s">
        <v>131</v>
      </c>
      <c r="B659">
        <v>2025</v>
      </c>
      <c r="C659" t="s">
        <v>626</v>
      </c>
      <c r="D659" t="s">
        <v>9</v>
      </c>
      <c r="E659" t="s">
        <v>16</v>
      </c>
      <c r="F659" s="2" t="s">
        <v>621</v>
      </c>
      <c r="G659">
        <v>10</v>
      </c>
      <c r="H659">
        <v>10</v>
      </c>
      <c r="I659" s="10">
        <v>1</v>
      </c>
    </row>
    <row r="660" spans="1:9" ht="30" x14ac:dyDescent="0.25">
      <c r="A660" s="11" t="s">
        <v>146</v>
      </c>
      <c r="B660">
        <v>2025</v>
      </c>
      <c r="C660" t="s">
        <v>139</v>
      </c>
      <c r="D660" t="s">
        <v>9</v>
      </c>
      <c r="E660" t="s">
        <v>16</v>
      </c>
      <c r="F660" s="2" t="s">
        <v>621</v>
      </c>
      <c r="G660">
        <v>26</v>
      </c>
      <c r="H660">
        <v>27</v>
      </c>
      <c r="I660" s="10">
        <v>0.96296296296296291</v>
      </c>
    </row>
    <row r="661" spans="1:9" ht="30" x14ac:dyDescent="0.25">
      <c r="A661" s="11" t="s">
        <v>146</v>
      </c>
      <c r="B661">
        <v>2025</v>
      </c>
      <c r="C661" t="s">
        <v>140</v>
      </c>
      <c r="D661" t="s">
        <v>9</v>
      </c>
      <c r="E661" t="s">
        <v>16</v>
      </c>
      <c r="F661" s="2" t="s">
        <v>621</v>
      </c>
      <c r="G661">
        <v>10</v>
      </c>
      <c r="H661">
        <v>15</v>
      </c>
      <c r="I661" s="10">
        <v>0.66666666666666663</v>
      </c>
    </row>
    <row r="662" spans="1:9" ht="30" x14ac:dyDescent="0.25">
      <c r="A662" s="11" t="s">
        <v>146</v>
      </c>
      <c r="B662">
        <v>2025</v>
      </c>
      <c r="C662" t="s">
        <v>626</v>
      </c>
      <c r="D662" t="s">
        <v>9</v>
      </c>
      <c r="E662" t="s">
        <v>16</v>
      </c>
      <c r="F662" s="2" t="s">
        <v>621</v>
      </c>
      <c r="G662">
        <v>20</v>
      </c>
      <c r="H662">
        <v>23</v>
      </c>
      <c r="I662" s="10">
        <v>0.86956521739130432</v>
      </c>
    </row>
    <row r="663" spans="1:9" ht="30" x14ac:dyDescent="0.25">
      <c r="A663" s="11" t="s">
        <v>149</v>
      </c>
      <c r="B663">
        <v>2025</v>
      </c>
      <c r="C663" t="s">
        <v>139</v>
      </c>
      <c r="D663" t="s">
        <v>9</v>
      </c>
      <c r="E663" t="s">
        <v>16</v>
      </c>
      <c r="F663" s="2" t="s">
        <v>621</v>
      </c>
      <c r="G663">
        <v>7</v>
      </c>
      <c r="H663">
        <v>7</v>
      </c>
      <c r="I663" s="10">
        <v>1</v>
      </c>
    </row>
    <row r="664" spans="1:9" ht="30" x14ac:dyDescent="0.25">
      <c r="A664" s="11" t="s">
        <v>149</v>
      </c>
      <c r="B664">
        <v>2025</v>
      </c>
      <c r="C664" t="s">
        <v>140</v>
      </c>
      <c r="D664" t="s">
        <v>9</v>
      </c>
      <c r="E664" t="s">
        <v>16</v>
      </c>
      <c r="F664" s="2" t="s">
        <v>621</v>
      </c>
      <c r="G664">
        <v>8</v>
      </c>
      <c r="H664">
        <v>9</v>
      </c>
      <c r="I664" s="10">
        <v>0.88888888888888884</v>
      </c>
    </row>
    <row r="665" spans="1:9" ht="30" x14ac:dyDescent="0.25">
      <c r="A665" s="11" t="s">
        <v>149</v>
      </c>
      <c r="B665">
        <v>2025</v>
      </c>
      <c r="C665" t="s">
        <v>626</v>
      </c>
      <c r="D665" t="s">
        <v>9</v>
      </c>
      <c r="E665" t="s">
        <v>16</v>
      </c>
      <c r="F665" s="2" t="s">
        <v>621</v>
      </c>
      <c r="G665">
        <v>7</v>
      </c>
      <c r="H665">
        <v>7</v>
      </c>
      <c r="I665" s="10">
        <v>1</v>
      </c>
    </row>
    <row r="666" spans="1:9" ht="30" x14ac:dyDescent="0.25">
      <c r="A666" s="11" t="s">
        <v>147</v>
      </c>
      <c r="B666">
        <v>2025</v>
      </c>
      <c r="C666" t="s">
        <v>139</v>
      </c>
      <c r="D666" t="s">
        <v>9</v>
      </c>
      <c r="E666" t="s">
        <v>16</v>
      </c>
      <c r="F666" s="2" t="s">
        <v>621</v>
      </c>
      <c r="G666">
        <v>2</v>
      </c>
      <c r="H666">
        <v>6</v>
      </c>
      <c r="I666" s="10">
        <v>0.33333333333333331</v>
      </c>
    </row>
    <row r="667" spans="1:9" ht="30" x14ac:dyDescent="0.25">
      <c r="A667" s="11" t="s">
        <v>147</v>
      </c>
      <c r="B667">
        <v>2025</v>
      </c>
      <c r="C667" t="s">
        <v>140</v>
      </c>
      <c r="D667" t="s">
        <v>9</v>
      </c>
      <c r="E667" t="s">
        <v>16</v>
      </c>
      <c r="F667" s="2" t="s">
        <v>621</v>
      </c>
      <c r="G667">
        <v>0</v>
      </c>
      <c r="H667">
        <v>1</v>
      </c>
      <c r="I667" s="10">
        <v>0</v>
      </c>
    </row>
    <row r="668" spans="1:9" ht="30" x14ac:dyDescent="0.25">
      <c r="A668" s="11" t="s">
        <v>147</v>
      </c>
      <c r="B668">
        <v>2025</v>
      </c>
      <c r="C668" t="s">
        <v>626</v>
      </c>
      <c r="D668" t="s">
        <v>9</v>
      </c>
      <c r="E668" t="s">
        <v>16</v>
      </c>
      <c r="F668" s="2" t="s">
        <v>621</v>
      </c>
      <c r="G668">
        <v>6</v>
      </c>
      <c r="H668">
        <v>6</v>
      </c>
      <c r="I668" s="10">
        <v>1</v>
      </c>
    </row>
    <row r="669" spans="1:9" ht="30" x14ac:dyDescent="0.25">
      <c r="A669" s="11" t="s">
        <v>126</v>
      </c>
      <c r="B669">
        <v>2025</v>
      </c>
      <c r="C669" t="s">
        <v>139</v>
      </c>
      <c r="D669" t="s">
        <v>9</v>
      </c>
      <c r="E669" t="s">
        <v>16</v>
      </c>
      <c r="F669" s="2" t="s">
        <v>621</v>
      </c>
      <c r="G669">
        <v>11</v>
      </c>
      <c r="H669">
        <v>16</v>
      </c>
      <c r="I669" s="10">
        <v>0.6875</v>
      </c>
    </row>
    <row r="670" spans="1:9" ht="30" x14ac:dyDescent="0.25">
      <c r="A670" s="11" t="s">
        <v>126</v>
      </c>
      <c r="B670">
        <v>2025</v>
      </c>
      <c r="C670" t="s">
        <v>140</v>
      </c>
      <c r="D670" t="s">
        <v>9</v>
      </c>
      <c r="E670" t="s">
        <v>16</v>
      </c>
      <c r="F670" s="2" t="s">
        <v>621</v>
      </c>
      <c r="G670">
        <v>7</v>
      </c>
      <c r="H670">
        <v>8</v>
      </c>
      <c r="I670" s="10">
        <v>0.875</v>
      </c>
    </row>
    <row r="671" spans="1:9" ht="30" x14ac:dyDescent="0.25">
      <c r="A671" s="11" t="s">
        <v>126</v>
      </c>
      <c r="B671">
        <v>2025</v>
      </c>
      <c r="C671" t="s">
        <v>626</v>
      </c>
      <c r="D671" t="s">
        <v>9</v>
      </c>
      <c r="E671" t="s">
        <v>16</v>
      </c>
      <c r="F671" s="2" t="s">
        <v>621</v>
      </c>
      <c r="G671">
        <v>21</v>
      </c>
      <c r="H671">
        <v>22</v>
      </c>
      <c r="I671" s="10">
        <v>0.95454545454545459</v>
      </c>
    </row>
    <row r="672" spans="1:9" ht="30" x14ac:dyDescent="0.25">
      <c r="A672" s="11" t="s">
        <v>154</v>
      </c>
      <c r="B672">
        <v>2025</v>
      </c>
      <c r="C672" t="s">
        <v>139</v>
      </c>
      <c r="D672" t="s">
        <v>9</v>
      </c>
      <c r="E672" t="s">
        <v>16</v>
      </c>
      <c r="F672" s="2" t="s">
        <v>621</v>
      </c>
      <c r="G672">
        <v>10</v>
      </c>
      <c r="H672">
        <v>11</v>
      </c>
      <c r="I672" s="10">
        <v>0.90909090909090906</v>
      </c>
    </row>
    <row r="673" spans="1:9" ht="30" x14ac:dyDescent="0.25">
      <c r="A673" s="11" t="s">
        <v>154</v>
      </c>
      <c r="B673">
        <v>2025</v>
      </c>
      <c r="C673" t="s">
        <v>140</v>
      </c>
      <c r="D673" t="s">
        <v>9</v>
      </c>
      <c r="E673" t="s">
        <v>16</v>
      </c>
      <c r="F673" s="2" t="s">
        <v>621</v>
      </c>
      <c r="G673">
        <v>14</v>
      </c>
      <c r="H673">
        <v>14</v>
      </c>
      <c r="I673" s="10">
        <v>1</v>
      </c>
    </row>
    <row r="674" spans="1:9" ht="30" x14ac:dyDescent="0.25">
      <c r="A674" s="11" t="s">
        <v>154</v>
      </c>
      <c r="B674">
        <v>2025</v>
      </c>
      <c r="C674" t="s">
        <v>626</v>
      </c>
      <c r="D674" t="s">
        <v>9</v>
      </c>
      <c r="E674" t="s">
        <v>16</v>
      </c>
      <c r="F674" s="2" t="s">
        <v>621</v>
      </c>
      <c r="G674">
        <v>16</v>
      </c>
      <c r="H674">
        <v>16</v>
      </c>
      <c r="I674" s="10">
        <v>1</v>
      </c>
    </row>
    <row r="675" spans="1:9" ht="30" x14ac:dyDescent="0.25">
      <c r="A675" s="11" t="s">
        <v>153</v>
      </c>
      <c r="B675">
        <v>2025</v>
      </c>
      <c r="C675" t="s">
        <v>139</v>
      </c>
      <c r="D675" t="s">
        <v>9</v>
      </c>
      <c r="E675" t="s">
        <v>16</v>
      </c>
      <c r="F675" s="2" t="s">
        <v>621</v>
      </c>
      <c r="G675">
        <v>14</v>
      </c>
      <c r="H675">
        <v>16</v>
      </c>
      <c r="I675" s="10">
        <v>0.875</v>
      </c>
    </row>
    <row r="676" spans="1:9" ht="30" x14ac:dyDescent="0.25">
      <c r="A676" s="11" t="s">
        <v>153</v>
      </c>
      <c r="B676">
        <v>2025</v>
      </c>
      <c r="C676" t="s">
        <v>140</v>
      </c>
      <c r="D676" t="s">
        <v>9</v>
      </c>
      <c r="E676" t="s">
        <v>16</v>
      </c>
      <c r="F676" s="2" t="s">
        <v>621</v>
      </c>
      <c r="G676">
        <v>14</v>
      </c>
      <c r="H676">
        <v>14</v>
      </c>
      <c r="I676" s="10">
        <v>1</v>
      </c>
    </row>
    <row r="677" spans="1:9" ht="30" x14ac:dyDescent="0.25">
      <c r="A677" s="11" t="s">
        <v>153</v>
      </c>
      <c r="B677">
        <v>2025</v>
      </c>
      <c r="C677" t="s">
        <v>626</v>
      </c>
      <c r="D677" t="s">
        <v>9</v>
      </c>
      <c r="E677" t="s">
        <v>16</v>
      </c>
      <c r="F677" s="2" t="s">
        <v>621</v>
      </c>
      <c r="G677">
        <v>14</v>
      </c>
      <c r="H677">
        <v>14</v>
      </c>
      <c r="I677" s="10">
        <v>1</v>
      </c>
    </row>
    <row r="678" spans="1:9" ht="30" x14ac:dyDescent="0.25">
      <c r="A678" s="11" t="s">
        <v>155</v>
      </c>
      <c r="B678">
        <v>2025</v>
      </c>
      <c r="C678" t="s">
        <v>139</v>
      </c>
      <c r="D678" t="s">
        <v>9</v>
      </c>
      <c r="E678" t="s">
        <v>16</v>
      </c>
      <c r="F678" s="2" t="s">
        <v>621</v>
      </c>
      <c r="G678">
        <v>7</v>
      </c>
      <c r="H678">
        <v>7</v>
      </c>
      <c r="I678" s="10">
        <v>1</v>
      </c>
    </row>
    <row r="679" spans="1:9" ht="30" x14ac:dyDescent="0.25">
      <c r="A679" s="11" t="s">
        <v>155</v>
      </c>
      <c r="B679">
        <v>2025</v>
      </c>
      <c r="C679" t="s">
        <v>140</v>
      </c>
      <c r="D679" t="s">
        <v>9</v>
      </c>
      <c r="E679" t="s">
        <v>16</v>
      </c>
      <c r="F679" s="2" t="s">
        <v>621</v>
      </c>
      <c r="G679">
        <v>4</v>
      </c>
      <c r="H679">
        <v>5</v>
      </c>
      <c r="I679" s="10">
        <v>0.8</v>
      </c>
    </row>
    <row r="680" spans="1:9" ht="30" x14ac:dyDescent="0.25">
      <c r="A680" s="11" t="s">
        <v>155</v>
      </c>
      <c r="B680">
        <v>2025</v>
      </c>
      <c r="C680" t="s">
        <v>626</v>
      </c>
      <c r="D680" t="s">
        <v>9</v>
      </c>
      <c r="E680" t="s">
        <v>16</v>
      </c>
      <c r="F680" s="2" t="s">
        <v>621</v>
      </c>
      <c r="G680">
        <v>9</v>
      </c>
      <c r="H680">
        <v>9</v>
      </c>
      <c r="I680" s="10">
        <v>1</v>
      </c>
    </row>
    <row r="681" spans="1:9" ht="30" x14ac:dyDescent="0.25">
      <c r="A681" s="11" t="s">
        <v>159</v>
      </c>
      <c r="B681">
        <v>2025</v>
      </c>
      <c r="C681" t="s">
        <v>139</v>
      </c>
      <c r="D681" t="s">
        <v>11</v>
      </c>
      <c r="E681" t="s">
        <v>165</v>
      </c>
      <c r="F681" s="2" t="s">
        <v>166</v>
      </c>
      <c r="G681">
        <v>11</v>
      </c>
      <c r="H681">
        <v>12</v>
      </c>
      <c r="I681" s="10">
        <v>0.91666666666666663</v>
      </c>
    </row>
    <row r="682" spans="1:9" ht="30" x14ac:dyDescent="0.25">
      <c r="A682" s="11" t="s">
        <v>159</v>
      </c>
      <c r="B682">
        <v>2025</v>
      </c>
      <c r="C682" t="s">
        <v>140</v>
      </c>
      <c r="D682" t="s">
        <v>11</v>
      </c>
      <c r="E682" t="s">
        <v>165</v>
      </c>
      <c r="F682" s="2" t="s">
        <v>166</v>
      </c>
      <c r="G682">
        <v>11</v>
      </c>
      <c r="H682">
        <v>11</v>
      </c>
      <c r="I682" s="10">
        <v>1</v>
      </c>
    </row>
    <row r="683" spans="1:9" ht="30" x14ac:dyDescent="0.25">
      <c r="A683" s="11" t="s">
        <v>159</v>
      </c>
      <c r="B683">
        <v>2025</v>
      </c>
      <c r="C683" t="s">
        <v>626</v>
      </c>
      <c r="D683" t="s">
        <v>11</v>
      </c>
      <c r="E683" t="s">
        <v>165</v>
      </c>
      <c r="F683" s="2" t="s">
        <v>166</v>
      </c>
      <c r="G683">
        <v>10</v>
      </c>
      <c r="H683">
        <v>11</v>
      </c>
      <c r="I683" s="10">
        <v>0.90909090909090906</v>
      </c>
    </row>
    <row r="684" spans="1:9" ht="30" x14ac:dyDescent="0.25">
      <c r="A684" s="11" t="s">
        <v>159</v>
      </c>
      <c r="B684">
        <v>2025</v>
      </c>
      <c r="C684" t="s">
        <v>630</v>
      </c>
      <c r="D684" t="s">
        <v>11</v>
      </c>
      <c r="E684" t="s">
        <v>165</v>
      </c>
      <c r="F684" s="2" t="s">
        <v>166</v>
      </c>
      <c r="G684">
        <v>11</v>
      </c>
      <c r="H684">
        <v>13</v>
      </c>
      <c r="I684" s="10">
        <v>0.84615384615384615</v>
      </c>
    </row>
    <row r="685" spans="1:9" ht="30" x14ac:dyDescent="0.25">
      <c r="A685" s="11" t="s">
        <v>159</v>
      </c>
      <c r="B685">
        <v>2025</v>
      </c>
      <c r="C685" t="s">
        <v>142</v>
      </c>
      <c r="D685" t="s">
        <v>11</v>
      </c>
      <c r="E685" t="s">
        <v>165</v>
      </c>
      <c r="F685" s="2" t="s">
        <v>166</v>
      </c>
      <c r="G685">
        <v>10</v>
      </c>
      <c r="H685">
        <v>12</v>
      </c>
      <c r="I685" s="10">
        <v>0.83333333333333337</v>
      </c>
    </row>
    <row r="686" spans="1:9" ht="30" x14ac:dyDescent="0.25">
      <c r="A686" s="11" t="s">
        <v>159</v>
      </c>
      <c r="B686">
        <v>2025</v>
      </c>
      <c r="C686" t="s">
        <v>627</v>
      </c>
      <c r="D686" t="s">
        <v>11</v>
      </c>
      <c r="E686" t="s">
        <v>165</v>
      </c>
      <c r="F686" s="2" t="s">
        <v>166</v>
      </c>
      <c r="G686">
        <v>7</v>
      </c>
      <c r="H686">
        <v>9</v>
      </c>
      <c r="I686" s="10">
        <v>0.77777777777777779</v>
      </c>
    </row>
    <row r="687" spans="1:9" ht="30" x14ac:dyDescent="0.25">
      <c r="A687" s="11" t="s">
        <v>170</v>
      </c>
      <c r="B687">
        <v>2025</v>
      </c>
      <c r="C687" t="s">
        <v>139</v>
      </c>
      <c r="D687" t="s">
        <v>11</v>
      </c>
      <c r="E687" t="s">
        <v>165</v>
      </c>
      <c r="F687" s="2" t="s">
        <v>171</v>
      </c>
      <c r="G687">
        <v>11</v>
      </c>
      <c r="H687">
        <v>12</v>
      </c>
      <c r="I687" s="10">
        <v>0.91666666666666663</v>
      </c>
    </row>
    <row r="688" spans="1:9" ht="30" x14ac:dyDescent="0.25">
      <c r="A688" s="11" t="s">
        <v>170</v>
      </c>
      <c r="B688">
        <v>2025</v>
      </c>
      <c r="C688" t="s">
        <v>140</v>
      </c>
      <c r="D688" t="s">
        <v>11</v>
      </c>
      <c r="E688" t="s">
        <v>165</v>
      </c>
      <c r="F688" s="2" t="s">
        <v>171</v>
      </c>
      <c r="G688">
        <v>11</v>
      </c>
      <c r="H688">
        <v>11</v>
      </c>
      <c r="I688" s="10">
        <v>1</v>
      </c>
    </row>
    <row r="689" spans="1:9" ht="30" x14ac:dyDescent="0.25">
      <c r="A689" s="11" t="s">
        <v>170</v>
      </c>
      <c r="B689">
        <v>2025</v>
      </c>
      <c r="C689" t="s">
        <v>626</v>
      </c>
      <c r="D689" t="s">
        <v>11</v>
      </c>
      <c r="E689" t="s">
        <v>165</v>
      </c>
      <c r="F689" s="2" t="s">
        <v>171</v>
      </c>
      <c r="G689">
        <v>10</v>
      </c>
      <c r="H689">
        <v>10</v>
      </c>
      <c r="I689" s="10">
        <v>1</v>
      </c>
    </row>
    <row r="690" spans="1:9" ht="30" x14ac:dyDescent="0.25">
      <c r="A690" s="11" t="s">
        <v>170</v>
      </c>
      <c r="B690">
        <v>2025</v>
      </c>
      <c r="C690" t="s">
        <v>630</v>
      </c>
      <c r="D690" t="s">
        <v>11</v>
      </c>
      <c r="E690" t="s">
        <v>165</v>
      </c>
      <c r="F690" s="2" t="s">
        <v>171</v>
      </c>
      <c r="G690">
        <v>8</v>
      </c>
      <c r="H690">
        <v>10</v>
      </c>
      <c r="I690" s="10">
        <v>0.8</v>
      </c>
    </row>
    <row r="691" spans="1:9" ht="30" x14ac:dyDescent="0.25">
      <c r="A691" s="11" t="s">
        <v>170</v>
      </c>
      <c r="B691">
        <v>2025</v>
      </c>
      <c r="C691" t="s">
        <v>142</v>
      </c>
      <c r="D691" t="s">
        <v>11</v>
      </c>
      <c r="E691" t="s">
        <v>165</v>
      </c>
      <c r="F691" s="2" t="s">
        <v>171</v>
      </c>
      <c r="G691">
        <v>9</v>
      </c>
      <c r="H691">
        <v>11</v>
      </c>
      <c r="I691" s="10">
        <v>0.81818181818181823</v>
      </c>
    </row>
    <row r="692" spans="1:9" ht="30" x14ac:dyDescent="0.25">
      <c r="A692" s="11" t="s">
        <v>170</v>
      </c>
      <c r="B692">
        <v>2025</v>
      </c>
      <c r="C692" t="s">
        <v>627</v>
      </c>
      <c r="D692" t="s">
        <v>11</v>
      </c>
      <c r="E692" t="s">
        <v>165</v>
      </c>
      <c r="F692" s="2" t="s">
        <v>171</v>
      </c>
      <c r="G692">
        <v>7</v>
      </c>
      <c r="H692">
        <v>9</v>
      </c>
      <c r="I692" s="10">
        <v>0.77777777777777779</v>
      </c>
    </row>
    <row r="693" spans="1:9" ht="30" x14ac:dyDescent="0.25">
      <c r="A693" s="11" t="s">
        <v>127</v>
      </c>
      <c r="B693">
        <v>2025</v>
      </c>
      <c r="C693" t="s">
        <v>139</v>
      </c>
      <c r="D693" t="s">
        <v>11</v>
      </c>
      <c r="E693" t="s">
        <v>165</v>
      </c>
      <c r="F693" s="2" t="s">
        <v>174</v>
      </c>
      <c r="G693">
        <v>12</v>
      </c>
      <c r="H693">
        <v>13</v>
      </c>
      <c r="I693" s="10">
        <v>0.92307692307692313</v>
      </c>
    </row>
    <row r="694" spans="1:9" ht="30" x14ac:dyDescent="0.25">
      <c r="A694" s="11" t="s">
        <v>127</v>
      </c>
      <c r="B694">
        <v>2025</v>
      </c>
      <c r="C694" t="s">
        <v>140</v>
      </c>
      <c r="D694" t="s">
        <v>11</v>
      </c>
      <c r="E694" t="s">
        <v>165</v>
      </c>
      <c r="F694" s="2" t="s">
        <v>174</v>
      </c>
      <c r="G694">
        <v>10</v>
      </c>
      <c r="H694">
        <v>10</v>
      </c>
      <c r="I694" s="10">
        <v>1</v>
      </c>
    </row>
    <row r="695" spans="1:9" ht="30" x14ac:dyDescent="0.25">
      <c r="A695" s="11" t="s">
        <v>127</v>
      </c>
      <c r="B695">
        <v>2025</v>
      </c>
      <c r="C695" t="s">
        <v>626</v>
      </c>
      <c r="D695" t="s">
        <v>11</v>
      </c>
      <c r="E695" t="s">
        <v>165</v>
      </c>
      <c r="F695" s="2" t="s">
        <v>174</v>
      </c>
      <c r="G695">
        <v>10</v>
      </c>
      <c r="H695">
        <v>10</v>
      </c>
      <c r="I695" s="10">
        <v>1</v>
      </c>
    </row>
    <row r="696" spans="1:9" ht="30" x14ac:dyDescent="0.25">
      <c r="A696" s="11" t="s">
        <v>127</v>
      </c>
      <c r="B696">
        <v>2025</v>
      </c>
      <c r="C696" t="s">
        <v>630</v>
      </c>
      <c r="D696" t="s">
        <v>11</v>
      </c>
      <c r="E696" t="s">
        <v>165</v>
      </c>
      <c r="F696" s="2" t="s">
        <v>174</v>
      </c>
      <c r="G696">
        <v>13</v>
      </c>
      <c r="H696">
        <v>16</v>
      </c>
      <c r="I696" s="10">
        <v>0.8125</v>
      </c>
    </row>
    <row r="697" spans="1:9" ht="30" x14ac:dyDescent="0.25">
      <c r="A697" s="11" t="s">
        <v>127</v>
      </c>
      <c r="B697">
        <v>2025</v>
      </c>
      <c r="C697" t="s">
        <v>142</v>
      </c>
      <c r="D697" t="s">
        <v>11</v>
      </c>
      <c r="E697" t="s">
        <v>165</v>
      </c>
      <c r="F697" s="2" t="s">
        <v>174</v>
      </c>
      <c r="G697">
        <v>9</v>
      </c>
      <c r="H697">
        <v>9</v>
      </c>
      <c r="I697" s="10">
        <v>1</v>
      </c>
    </row>
    <row r="698" spans="1:9" ht="30" x14ac:dyDescent="0.25">
      <c r="A698" s="11" t="s">
        <v>127</v>
      </c>
      <c r="B698">
        <v>2025</v>
      </c>
      <c r="C698" t="s">
        <v>627</v>
      </c>
      <c r="D698" t="s">
        <v>11</v>
      </c>
      <c r="E698" t="s">
        <v>165</v>
      </c>
      <c r="F698" s="2" t="s">
        <v>174</v>
      </c>
      <c r="G698">
        <v>8</v>
      </c>
      <c r="H698">
        <v>9</v>
      </c>
      <c r="I698" s="10">
        <v>0.88888888888888884</v>
      </c>
    </row>
    <row r="699" spans="1:9" ht="30" x14ac:dyDescent="0.25">
      <c r="A699" s="11" t="s">
        <v>143</v>
      </c>
      <c r="B699">
        <v>2025</v>
      </c>
      <c r="C699" t="s">
        <v>626</v>
      </c>
      <c r="D699" t="s">
        <v>14</v>
      </c>
      <c r="E699" t="s">
        <v>353</v>
      </c>
      <c r="F699" s="2" t="s">
        <v>370</v>
      </c>
      <c r="G699">
        <v>9</v>
      </c>
      <c r="H699">
        <v>32</v>
      </c>
      <c r="I699" s="10">
        <v>0.28125</v>
      </c>
    </row>
    <row r="700" spans="1:9" ht="30" x14ac:dyDescent="0.25">
      <c r="A700" s="11" t="s">
        <v>144</v>
      </c>
      <c r="B700">
        <v>2025</v>
      </c>
      <c r="C700" t="s">
        <v>626</v>
      </c>
      <c r="D700" t="s">
        <v>14</v>
      </c>
      <c r="E700" t="s">
        <v>353</v>
      </c>
      <c r="F700" s="2" t="s">
        <v>373</v>
      </c>
      <c r="G700">
        <v>27</v>
      </c>
      <c r="H700">
        <v>28</v>
      </c>
      <c r="I700" s="10">
        <v>0.9642857142857143</v>
      </c>
    </row>
    <row r="701" spans="1:9" x14ac:dyDescent="0.25">
      <c r="A701" s="11" t="s">
        <v>145</v>
      </c>
      <c r="B701">
        <v>2025</v>
      </c>
      <c r="C701" t="s">
        <v>626</v>
      </c>
      <c r="D701" t="s">
        <v>14</v>
      </c>
      <c r="E701" t="s">
        <v>353</v>
      </c>
      <c r="F701" s="2" t="s">
        <v>363</v>
      </c>
      <c r="G701">
        <v>29</v>
      </c>
      <c r="H701">
        <v>30</v>
      </c>
      <c r="I701" s="10">
        <v>0.96666666666666667</v>
      </c>
    </row>
    <row r="702" spans="1:9" ht="30" x14ac:dyDescent="0.25">
      <c r="A702" s="11" t="s">
        <v>146</v>
      </c>
      <c r="B702">
        <v>2025</v>
      </c>
      <c r="C702" t="s">
        <v>626</v>
      </c>
      <c r="D702" t="s">
        <v>14</v>
      </c>
      <c r="E702" t="s">
        <v>353</v>
      </c>
      <c r="F702" s="2" t="s">
        <v>360</v>
      </c>
      <c r="G702">
        <v>21</v>
      </c>
      <c r="H702">
        <v>33</v>
      </c>
      <c r="I702" s="10">
        <v>0.63636363636363635</v>
      </c>
    </row>
    <row r="703" spans="1:9" x14ac:dyDescent="0.25">
      <c r="A703" s="11" t="s">
        <v>147</v>
      </c>
      <c r="B703">
        <v>2025</v>
      </c>
      <c r="C703" t="s">
        <v>626</v>
      </c>
      <c r="D703" t="s">
        <v>14</v>
      </c>
      <c r="E703" t="s">
        <v>353</v>
      </c>
      <c r="F703" s="2" t="s">
        <v>48</v>
      </c>
      <c r="G703">
        <v>21</v>
      </c>
      <c r="H703">
        <v>24</v>
      </c>
      <c r="I703" s="10">
        <v>0.875</v>
      </c>
    </row>
    <row r="704" spans="1:9" ht="30" x14ac:dyDescent="0.25">
      <c r="A704" s="11" t="s">
        <v>149</v>
      </c>
      <c r="B704">
        <v>2025</v>
      </c>
      <c r="C704" t="s">
        <v>626</v>
      </c>
      <c r="D704" t="s">
        <v>14</v>
      </c>
      <c r="E704" t="s">
        <v>353</v>
      </c>
      <c r="F704" s="2" t="s">
        <v>376</v>
      </c>
      <c r="G704">
        <v>13</v>
      </c>
      <c r="H704">
        <v>32</v>
      </c>
      <c r="I704" s="10">
        <v>0.40625</v>
      </c>
    </row>
    <row r="705" spans="1:9" ht="30" x14ac:dyDescent="0.25">
      <c r="A705" s="11" t="s">
        <v>132</v>
      </c>
      <c r="B705">
        <v>2025</v>
      </c>
      <c r="C705" t="s">
        <v>626</v>
      </c>
      <c r="D705" t="s">
        <v>11</v>
      </c>
      <c r="E705" t="s">
        <v>184</v>
      </c>
      <c r="F705" s="2" t="s">
        <v>199</v>
      </c>
      <c r="G705">
        <v>40</v>
      </c>
      <c r="H705">
        <v>42</v>
      </c>
      <c r="I705" s="10">
        <v>0.95238095238095233</v>
      </c>
    </row>
    <row r="706" spans="1:9" ht="30" x14ac:dyDescent="0.25">
      <c r="A706" s="11" t="s">
        <v>132</v>
      </c>
      <c r="B706">
        <v>2025</v>
      </c>
      <c r="C706" t="s">
        <v>627</v>
      </c>
      <c r="D706" t="s">
        <v>11</v>
      </c>
      <c r="E706" t="s">
        <v>184</v>
      </c>
      <c r="F706" s="2" t="s">
        <v>199</v>
      </c>
      <c r="G706">
        <v>36</v>
      </c>
      <c r="H706">
        <v>36</v>
      </c>
      <c r="I706" s="10">
        <v>1</v>
      </c>
    </row>
    <row r="707" spans="1:9" ht="30" x14ac:dyDescent="0.25">
      <c r="A707" s="11" t="s">
        <v>132</v>
      </c>
      <c r="B707">
        <v>2025</v>
      </c>
      <c r="C707" t="s">
        <v>628</v>
      </c>
      <c r="D707" t="s">
        <v>11</v>
      </c>
      <c r="E707" t="s">
        <v>184</v>
      </c>
      <c r="F707" s="2" t="s">
        <v>199</v>
      </c>
      <c r="G707">
        <v>39</v>
      </c>
      <c r="H707">
        <v>39</v>
      </c>
      <c r="I707" s="10">
        <v>1</v>
      </c>
    </row>
    <row r="708" spans="1:9" ht="30" x14ac:dyDescent="0.25">
      <c r="A708" s="11" t="s">
        <v>132</v>
      </c>
      <c r="B708">
        <v>2025</v>
      </c>
      <c r="C708" t="s">
        <v>626</v>
      </c>
      <c r="D708" t="s">
        <v>11</v>
      </c>
      <c r="E708" t="s">
        <v>261</v>
      </c>
      <c r="F708" s="2" t="s">
        <v>262</v>
      </c>
      <c r="G708">
        <v>42</v>
      </c>
      <c r="H708">
        <v>42</v>
      </c>
      <c r="I708" s="10">
        <v>1</v>
      </c>
    </row>
    <row r="709" spans="1:9" ht="30" x14ac:dyDescent="0.25">
      <c r="A709" s="11" t="s">
        <v>132</v>
      </c>
      <c r="B709">
        <v>2025</v>
      </c>
      <c r="C709" t="s">
        <v>627</v>
      </c>
      <c r="D709" t="s">
        <v>11</v>
      </c>
      <c r="E709" t="s">
        <v>261</v>
      </c>
      <c r="F709" s="2" t="s">
        <v>262</v>
      </c>
      <c r="G709">
        <v>33</v>
      </c>
      <c r="H709">
        <v>36</v>
      </c>
      <c r="I709" s="10">
        <v>0.91666666666666663</v>
      </c>
    </row>
    <row r="710" spans="1:9" ht="30" x14ac:dyDescent="0.25">
      <c r="A710" s="11" t="s">
        <v>132</v>
      </c>
      <c r="B710">
        <v>2025</v>
      </c>
      <c r="C710" t="s">
        <v>628</v>
      </c>
      <c r="D710" t="s">
        <v>11</v>
      </c>
      <c r="E710" t="s">
        <v>261</v>
      </c>
      <c r="F710" s="2" t="s">
        <v>262</v>
      </c>
      <c r="G710">
        <v>34</v>
      </c>
      <c r="H710">
        <v>39</v>
      </c>
      <c r="I710" s="10">
        <v>0.87179487179487181</v>
      </c>
    </row>
    <row r="711" spans="1:9" ht="30" x14ac:dyDescent="0.25">
      <c r="A711" s="11" t="s">
        <v>132</v>
      </c>
      <c r="B711">
        <v>2025</v>
      </c>
      <c r="C711" t="s">
        <v>626</v>
      </c>
      <c r="D711" t="s">
        <v>11</v>
      </c>
      <c r="E711" t="s">
        <v>273</v>
      </c>
      <c r="F711" s="2" t="s">
        <v>274</v>
      </c>
      <c r="G711">
        <v>37</v>
      </c>
      <c r="H711">
        <v>42</v>
      </c>
      <c r="I711" s="10">
        <v>0.88095238095238093</v>
      </c>
    </row>
    <row r="712" spans="1:9" ht="30" x14ac:dyDescent="0.25">
      <c r="A712" s="11" t="s">
        <v>132</v>
      </c>
      <c r="B712">
        <v>2025</v>
      </c>
      <c r="C712" t="s">
        <v>627</v>
      </c>
      <c r="D712" t="s">
        <v>11</v>
      </c>
      <c r="E712" t="s">
        <v>273</v>
      </c>
      <c r="F712" s="2" t="s">
        <v>274</v>
      </c>
      <c r="G712">
        <v>25</v>
      </c>
      <c r="H712">
        <v>36</v>
      </c>
      <c r="I712" s="10">
        <v>0.69444444444444442</v>
      </c>
    </row>
    <row r="713" spans="1:9" ht="30" x14ac:dyDescent="0.25">
      <c r="A713" s="11" t="s">
        <v>132</v>
      </c>
      <c r="B713">
        <v>2025</v>
      </c>
      <c r="C713" t="s">
        <v>628</v>
      </c>
      <c r="D713" t="s">
        <v>11</v>
      </c>
      <c r="E713" t="s">
        <v>273</v>
      </c>
      <c r="F713" s="2" t="s">
        <v>274</v>
      </c>
      <c r="G713">
        <v>29</v>
      </c>
      <c r="H713">
        <v>39</v>
      </c>
      <c r="I713" s="10">
        <v>0.74358974358974361</v>
      </c>
    </row>
    <row r="714" spans="1:9" x14ac:dyDescent="0.25">
      <c r="A714" s="11" t="s">
        <v>145</v>
      </c>
      <c r="B714">
        <v>2025</v>
      </c>
      <c r="C714" t="s">
        <v>627</v>
      </c>
      <c r="D714" t="s">
        <v>14</v>
      </c>
      <c r="E714" t="s">
        <v>315</v>
      </c>
      <c r="F714" s="2" t="s">
        <v>44</v>
      </c>
      <c r="G714">
        <v>23</v>
      </c>
      <c r="H714">
        <v>29</v>
      </c>
      <c r="I714" s="10">
        <v>0.7931034482758621</v>
      </c>
    </row>
    <row r="715" spans="1:9" ht="30" x14ac:dyDescent="0.25">
      <c r="A715" s="11" t="s">
        <v>146</v>
      </c>
      <c r="B715">
        <v>2025</v>
      </c>
      <c r="C715" t="s">
        <v>627</v>
      </c>
      <c r="D715" t="s">
        <v>14</v>
      </c>
      <c r="E715" t="s">
        <v>315</v>
      </c>
      <c r="F715" s="2" t="s">
        <v>317</v>
      </c>
      <c r="G715">
        <v>26</v>
      </c>
      <c r="H715">
        <v>33</v>
      </c>
      <c r="I715" s="10">
        <v>0.78787878787878785</v>
      </c>
    </row>
    <row r="716" spans="1:9" ht="30" x14ac:dyDescent="0.25">
      <c r="A716" s="11" t="s">
        <v>147</v>
      </c>
      <c r="B716">
        <v>2025</v>
      </c>
      <c r="C716" t="s">
        <v>627</v>
      </c>
      <c r="D716" t="s">
        <v>14</v>
      </c>
      <c r="E716" t="s">
        <v>315</v>
      </c>
      <c r="F716" s="2" t="s">
        <v>336</v>
      </c>
      <c r="G716">
        <v>23</v>
      </c>
      <c r="H716">
        <v>26</v>
      </c>
      <c r="I716" s="10">
        <v>0.88461538461538458</v>
      </c>
    </row>
    <row r="717" spans="1:9" ht="30" x14ac:dyDescent="0.25">
      <c r="A717" s="11" t="s">
        <v>148</v>
      </c>
      <c r="B717">
        <v>2025</v>
      </c>
      <c r="C717" t="s">
        <v>627</v>
      </c>
      <c r="D717" t="s">
        <v>14</v>
      </c>
      <c r="E717" t="s">
        <v>315</v>
      </c>
      <c r="F717" s="2" t="s">
        <v>329</v>
      </c>
      <c r="G717">
        <v>30</v>
      </c>
      <c r="H717">
        <v>33</v>
      </c>
      <c r="I717" s="10">
        <v>0.90909090909090906</v>
      </c>
    </row>
    <row r="718" spans="1:9" ht="30" x14ac:dyDescent="0.25">
      <c r="A718" s="11" t="s">
        <v>143</v>
      </c>
      <c r="B718">
        <v>2025</v>
      </c>
      <c r="C718" t="s">
        <v>627</v>
      </c>
      <c r="D718" t="s">
        <v>14</v>
      </c>
      <c r="E718" t="s">
        <v>315</v>
      </c>
      <c r="F718" s="2" t="s">
        <v>323</v>
      </c>
      <c r="G718">
        <v>28</v>
      </c>
      <c r="H718">
        <v>33</v>
      </c>
      <c r="I718" s="10">
        <v>0.84848484848484851</v>
      </c>
    </row>
    <row r="719" spans="1:9" ht="30" x14ac:dyDescent="0.25">
      <c r="A719" s="11" t="s">
        <v>144</v>
      </c>
      <c r="B719">
        <v>2025</v>
      </c>
      <c r="C719" t="s">
        <v>627</v>
      </c>
      <c r="D719" t="s">
        <v>14</v>
      </c>
      <c r="E719" t="s">
        <v>315</v>
      </c>
      <c r="F719" s="2" t="s">
        <v>326</v>
      </c>
      <c r="G719">
        <v>26</v>
      </c>
      <c r="H719">
        <v>29</v>
      </c>
      <c r="I719" s="10">
        <v>0.89655172413793105</v>
      </c>
    </row>
    <row r="720" spans="1:9" ht="30" x14ac:dyDescent="0.25">
      <c r="A720" s="11" t="s">
        <v>153</v>
      </c>
      <c r="B720">
        <v>2025</v>
      </c>
      <c r="C720" t="s">
        <v>627</v>
      </c>
      <c r="D720" t="s">
        <v>14</v>
      </c>
      <c r="E720" t="s">
        <v>315</v>
      </c>
      <c r="F720" s="2" t="s">
        <v>46</v>
      </c>
      <c r="G720">
        <v>32</v>
      </c>
      <c r="H720">
        <v>32</v>
      </c>
      <c r="I720" s="10">
        <v>1</v>
      </c>
    </row>
    <row r="721" spans="1:9" ht="30" x14ac:dyDescent="0.25">
      <c r="A721" s="11" t="s">
        <v>127</v>
      </c>
      <c r="B721">
        <v>2025</v>
      </c>
      <c r="C721" t="s">
        <v>627</v>
      </c>
      <c r="D721" t="s">
        <v>14</v>
      </c>
      <c r="E721" t="s">
        <v>315</v>
      </c>
      <c r="F721" s="2" t="s">
        <v>332</v>
      </c>
      <c r="G721">
        <v>34</v>
      </c>
      <c r="H721">
        <v>34</v>
      </c>
      <c r="I721" s="10">
        <v>1</v>
      </c>
    </row>
    <row r="722" spans="1:9" ht="30" x14ac:dyDescent="0.25">
      <c r="A722" s="11" t="s">
        <v>159</v>
      </c>
      <c r="B722">
        <v>2025</v>
      </c>
      <c r="C722" t="s">
        <v>627</v>
      </c>
      <c r="D722" t="s">
        <v>14</v>
      </c>
      <c r="E722" t="s">
        <v>315</v>
      </c>
      <c r="F722" s="2" t="s">
        <v>332</v>
      </c>
      <c r="G722">
        <v>34</v>
      </c>
      <c r="H722">
        <v>34</v>
      </c>
      <c r="I722" s="10">
        <v>1</v>
      </c>
    </row>
    <row r="723" spans="1:9" ht="30" x14ac:dyDescent="0.25">
      <c r="A723" s="11" t="s">
        <v>149</v>
      </c>
      <c r="B723">
        <v>2025</v>
      </c>
      <c r="C723" t="s">
        <v>627</v>
      </c>
      <c r="D723" t="s">
        <v>14</v>
      </c>
      <c r="E723" t="s">
        <v>315</v>
      </c>
      <c r="F723" s="2" t="s">
        <v>333</v>
      </c>
      <c r="G723">
        <v>28</v>
      </c>
      <c r="H723">
        <v>32</v>
      </c>
      <c r="I723" s="10">
        <v>0.875</v>
      </c>
    </row>
    <row r="724" spans="1:9" ht="30" x14ac:dyDescent="0.25">
      <c r="A724" s="11" t="s">
        <v>152</v>
      </c>
      <c r="B724">
        <v>2025</v>
      </c>
      <c r="C724" t="s">
        <v>627</v>
      </c>
      <c r="D724" t="s">
        <v>14</v>
      </c>
      <c r="E724" t="s">
        <v>315</v>
      </c>
      <c r="F724" s="2" t="s">
        <v>344</v>
      </c>
      <c r="G724">
        <v>21</v>
      </c>
      <c r="H724">
        <v>24</v>
      </c>
      <c r="I724" s="10">
        <v>0.875</v>
      </c>
    </row>
    <row r="725" spans="1:9" ht="30" x14ac:dyDescent="0.25">
      <c r="A725" s="11" t="s">
        <v>151</v>
      </c>
      <c r="B725">
        <v>2025</v>
      </c>
      <c r="C725" t="s">
        <v>627</v>
      </c>
      <c r="D725" t="s">
        <v>14</v>
      </c>
      <c r="E725" t="s">
        <v>315</v>
      </c>
      <c r="F725" s="2" t="s">
        <v>339</v>
      </c>
      <c r="G725">
        <v>24</v>
      </c>
      <c r="H725">
        <v>26</v>
      </c>
      <c r="I725" s="10">
        <v>0.92307692307692313</v>
      </c>
    </row>
    <row r="726" spans="1:9" ht="30" x14ac:dyDescent="0.25">
      <c r="A726" s="11" t="s">
        <v>129</v>
      </c>
      <c r="B726">
        <v>2025</v>
      </c>
      <c r="C726" t="s">
        <v>627</v>
      </c>
      <c r="D726" t="s">
        <v>14</v>
      </c>
      <c r="E726" t="s">
        <v>315</v>
      </c>
      <c r="F726" s="2" t="s">
        <v>341</v>
      </c>
      <c r="G726">
        <v>17</v>
      </c>
      <c r="H726">
        <v>18</v>
      </c>
      <c r="I726" s="10">
        <v>0.94444444444444442</v>
      </c>
    </row>
    <row r="727" spans="1:9" x14ac:dyDescent="0.25">
      <c r="A727" s="11" t="s">
        <v>145</v>
      </c>
      <c r="B727">
        <v>2025</v>
      </c>
      <c r="C727" t="s">
        <v>627</v>
      </c>
      <c r="D727" t="s">
        <v>14</v>
      </c>
      <c r="E727" t="s">
        <v>353</v>
      </c>
      <c r="F727" s="2" t="s">
        <v>363</v>
      </c>
      <c r="G727">
        <v>28</v>
      </c>
      <c r="H727">
        <v>29</v>
      </c>
      <c r="I727" s="10">
        <v>0.96551724137931039</v>
      </c>
    </row>
    <row r="728" spans="1:9" ht="30" x14ac:dyDescent="0.25">
      <c r="A728" s="11" t="s">
        <v>146</v>
      </c>
      <c r="B728">
        <v>2025</v>
      </c>
      <c r="C728" t="s">
        <v>627</v>
      </c>
      <c r="D728" t="s">
        <v>14</v>
      </c>
      <c r="E728" t="s">
        <v>353</v>
      </c>
      <c r="F728" s="2" t="s">
        <v>360</v>
      </c>
      <c r="G728">
        <v>21</v>
      </c>
      <c r="H728">
        <v>33</v>
      </c>
      <c r="I728" s="10">
        <v>0.63636363636363635</v>
      </c>
    </row>
    <row r="729" spans="1:9" x14ac:dyDescent="0.25">
      <c r="A729" s="11" t="s">
        <v>147</v>
      </c>
      <c r="B729">
        <v>2025</v>
      </c>
      <c r="C729" t="s">
        <v>627</v>
      </c>
      <c r="D729" t="s">
        <v>14</v>
      </c>
      <c r="E729" t="s">
        <v>353</v>
      </c>
      <c r="F729" s="2" t="s">
        <v>48</v>
      </c>
      <c r="G729">
        <v>25</v>
      </c>
      <c r="H729">
        <v>26</v>
      </c>
      <c r="I729" s="10">
        <v>0.96153846153846156</v>
      </c>
    </row>
    <row r="730" spans="1:9" ht="30" x14ac:dyDescent="0.25">
      <c r="A730" s="11" t="s">
        <v>143</v>
      </c>
      <c r="B730">
        <v>2025</v>
      </c>
      <c r="C730" t="s">
        <v>627</v>
      </c>
      <c r="D730" t="s">
        <v>14</v>
      </c>
      <c r="E730" t="s">
        <v>353</v>
      </c>
      <c r="F730" s="2" t="s">
        <v>370</v>
      </c>
      <c r="G730">
        <v>18</v>
      </c>
      <c r="H730">
        <v>33</v>
      </c>
      <c r="I730" s="10">
        <v>0.54545454545454541</v>
      </c>
    </row>
    <row r="731" spans="1:9" ht="30" x14ac:dyDescent="0.25">
      <c r="A731" s="11" t="s">
        <v>144</v>
      </c>
      <c r="B731">
        <v>2025</v>
      </c>
      <c r="C731" t="s">
        <v>627</v>
      </c>
      <c r="D731" t="s">
        <v>14</v>
      </c>
      <c r="E731" t="s">
        <v>353</v>
      </c>
      <c r="F731" s="2" t="s">
        <v>373</v>
      </c>
      <c r="G731">
        <v>29</v>
      </c>
      <c r="H731">
        <v>29</v>
      </c>
      <c r="I731" s="10">
        <v>1</v>
      </c>
    </row>
    <row r="732" spans="1:9" ht="30" x14ac:dyDescent="0.25">
      <c r="A732" s="11" t="s">
        <v>149</v>
      </c>
      <c r="B732">
        <v>2025</v>
      </c>
      <c r="C732" t="s">
        <v>627</v>
      </c>
      <c r="D732" t="s">
        <v>14</v>
      </c>
      <c r="E732" t="s">
        <v>353</v>
      </c>
      <c r="F732" s="2" t="s">
        <v>376</v>
      </c>
      <c r="G732">
        <v>9</v>
      </c>
      <c r="H732">
        <v>32</v>
      </c>
      <c r="I732" s="10">
        <v>0.28125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L283"/>
  <sheetViews>
    <sheetView zoomScale="80" zoomScaleNormal="80" workbookViewId="0">
      <selection activeCell="A284" sqref="A284"/>
    </sheetView>
  </sheetViews>
  <sheetFormatPr baseColWidth="10" defaultColWidth="0" defaultRowHeight="15" x14ac:dyDescent="0.25"/>
  <cols>
    <col min="1" max="1" width="28.28515625" customWidth="1"/>
    <col min="2" max="2" width="20.42578125" customWidth="1"/>
    <col min="3" max="3" width="25.42578125" bestFit="1" customWidth="1"/>
    <col min="4" max="4" width="42.85546875" style="7" customWidth="1"/>
    <col min="5" max="5" width="32.85546875" style="7" customWidth="1"/>
    <col min="6" max="6" width="33.7109375" style="7" customWidth="1"/>
    <col min="7" max="7" width="20.140625" customWidth="1"/>
    <col min="8" max="8" width="23.5703125" customWidth="1"/>
    <col min="9" max="9" width="11.42578125" customWidth="1"/>
    <col min="10" max="10" width="22" bestFit="1" customWidth="1"/>
    <col min="11" max="11" width="23.5703125" customWidth="1"/>
    <col min="12" max="12" width="11.42578125" customWidth="1"/>
    <col min="13" max="16384" width="11.42578125" hidden="1"/>
  </cols>
  <sheetData>
    <row r="1" spans="1:11" ht="35.25" customHeight="1" x14ac:dyDescent="0.25">
      <c r="A1" s="3" t="s">
        <v>133</v>
      </c>
      <c r="B1" s="3" t="s">
        <v>0</v>
      </c>
      <c r="C1" s="3" t="s">
        <v>1</v>
      </c>
      <c r="D1" s="4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9" t="s">
        <v>638</v>
      </c>
    </row>
    <row r="2" spans="1:11" s="2" customFormat="1" ht="45" x14ac:dyDescent="0.25">
      <c r="A2" s="8" t="s">
        <v>125</v>
      </c>
      <c r="B2" s="2" t="s">
        <v>14</v>
      </c>
      <c r="C2" s="2" t="s">
        <v>396</v>
      </c>
      <c r="D2" s="6" t="s">
        <v>397</v>
      </c>
      <c r="E2" s="6" t="s">
        <v>398</v>
      </c>
      <c r="F2" s="6" t="s">
        <v>399</v>
      </c>
      <c r="G2" s="2" t="s">
        <v>169</v>
      </c>
      <c r="H2" s="2" t="s">
        <v>156</v>
      </c>
      <c r="I2" s="2" t="s">
        <v>119</v>
      </c>
      <c r="J2" s="2">
        <v>0.1</v>
      </c>
      <c r="K2" s="2" t="s">
        <v>640</v>
      </c>
    </row>
    <row r="3" spans="1:11" s="2" customFormat="1" ht="45" x14ac:dyDescent="0.25">
      <c r="A3" s="8" t="s">
        <v>612</v>
      </c>
      <c r="B3" s="2" t="s">
        <v>15</v>
      </c>
      <c r="C3" s="2" t="s">
        <v>36</v>
      </c>
      <c r="D3" s="6" t="s">
        <v>57</v>
      </c>
      <c r="E3" s="6" t="s">
        <v>85</v>
      </c>
      <c r="F3" s="6" t="s">
        <v>117</v>
      </c>
      <c r="G3" s="2" t="s">
        <v>169</v>
      </c>
      <c r="H3" s="2" t="s">
        <v>156</v>
      </c>
      <c r="I3" s="2" t="s">
        <v>637</v>
      </c>
      <c r="J3" s="2" t="s">
        <v>180</v>
      </c>
      <c r="K3" s="2" t="s">
        <v>640</v>
      </c>
    </row>
    <row r="4" spans="1:11" s="2" customFormat="1" ht="60" x14ac:dyDescent="0.25">
      <c r="A4" s="8" t="s">
        <v>612</v>
      </c>
      <c r="B4" s="2" t="s">
        <v>15</v>
      </c>
      <c r="C4" s="2" t="s">
        <v>613</v>
      </c>
      <c r="D4" s="6" t="s">
        <v>614</v>
      </c>
      <c r="E4" s="6" t="s">
        <v>615</v>
      </c>
      <c r="F4" s="6" t="s">
        <v>616</v>
      </c>
      <c r="G4" s="2" t="s">
        <v>169</v>
      </c>
      <c r="H4" s="2" t="s">
        <v>156</v>
      </c>
      <c r="I4" s="2" t="s">
        <v>617</v>
      </c>
      <c r="J4" s="2" t="s">
        <v>180</v>
      </c>
      <c r="K4" s="2" t="s">
        <v>640</v>
      </c>
    </row>
    <row r="5" spans="1:11" s="2" customFormat="1" ht="45" x14ac:dyDescent="0.25">
      <c r="A5" s="8" t="s">
        <v>612</v>
      </c>
      <c r="B5" s="2" t="s">
        <v>15</v>
      </c>
      <c r="C5" s="2" t="s">
        <v>38</v>
      </c>
      <c r="D5" s="6" t="s">
        <v>618</v>
      </c>
      <c r="E5" s="6" t="s">
        <v>619</v>
      </c>
      <c r="F5" s="6" t="s">
        <v>620</v>
      </c>
      <c r="G5" s="2" t="s">
        <v>197</v>
      </c>
      <c r="H5" s="2" t="s">
        <v>156</v>
      </c>
      <c r="I5" s="2" t="s">
        <v>124</v>
      </c>
      <c r="J5" s="2" t="s">
        <v>180</v>
      </c>
      <c r="K5" s="2" t="s">
        <v>640</v>
      </c>
    </row>
    <row r="6" spans="1:11" s="2" customFormat="1" ht="60" x14ac:dyDescent="0.25">
      <c r="A6" s="8" t="s">
        <v>612</v>
      </c>
      <c r="B6" s="2" t="s">
        <v>15</v>
      </c>
      <c r="C6" s="2" t="s">
        <v>37</v>
      </c>
      <c r="D6" s="6" t="s">
        <v>58</v>
      </c>
      <c r="E6" s="6" t="s">
        <v>86</v>
      </c>
      <c r="F6" s="6" t="s">
        <v>118</v>
      </c>
      <c r="G6" s="2" t="s">
        <v>169</v>
      </c>
      <c r="H6" s="2" t="s">
        <v>158</v>
      </c>
      <c r="I6" s="2" t="s">
        <v>123</v>
      </c>
      <c r="J6" s="2">
        <v>0.1</v>
      </c>
      <c r="K6" s="2" t="s">
        <v>640</v>
      </c>
    </row>
    <row r="7" spans="1:11" s="2" customFormat="1" ht="60" x14ac:dyDescent="0.25">
      <c r="A7" s="8" t="s">
        <v>440</v>
      </c>
      <c r="B7" s="2" t="s">
        <v>15</v>
      </c>
      <c r="C7" s="2" t="s">
        <v>439</v>
      </c>
      <c r="D7" s="6" t="s">
        <v>50</v>
      </c>
      <c r="E7" s="6" t="s">
        <v>76</v>
      </c>
      <c r="F7" s="6" t="s">
        <v>109</v>
      </c>
      <c r="G7" s="2" t="s">
        <v>169</v>
      </c>
      <c r="H7" s="2" t="s">
        <v>156</v>
      </c>
      <c r="I7" s="2" t="s">
        <v>119</v>
      </c>
      <c r="J7" s="2" t="s">
        <v>180</v>
      </c>
      <c r="K7" s="2" t="s">
        <v>640</v>
      </c>
    </row>
    <row r="8" spans="1:11" s="2" customFormat="1" ht="60" x14ac:dyDescent="0.25">
      <c r="A8" s="8" t="s">
        <v>145</v>
      </c>
      <c r="B8" s="2" t="s">
        <v>9</v>
      </c>
      <c r="C8" s="2" t="s">
        <v>162</v>
      </c>
      <c r="D8" s="6" t="s">
        <v>163</v>
      </c>
      <c r="E8" s="6" t="s">
        <v>59</v>
      </c>
      <c r="F8" s="6" t="s">
        <v>88</v>
      </c>
      <c r="G8" s="2" t="s">
        <v>164</v>
      </c>
      <c r="H8" s="2" t="s">
        <v>156</v>
      </c>
      <c r="I8" s="2" t="s">
        <v>119</v>
      </c>
      <c r="J8" s="2">
        <v>0.1</v>
      </c>
      <c r="K8" s="2" t="s">
        <v>640</v>
      </c>
    </row>
    <row r="9" spans="1:11" s="2" customFormat="1" ht="60" x14ac:dyDescent="0.25">
      <c r="A9" s="8" t="s">
        <v>145</v>
      </c>
      <c r="B9" s="2" t="s">
        <v>11</v>
      </c>
      <c r="C9" s="2" t="s">
        <v>184</v>
      </c>
      <c r="D9" s="6" t="s">
        <v>193</v>
      </c>
      <c r="E9" s="6" t="s">
        <v>196</v>
      </c>
      <c r="F9" s="6" t="s">
        <v>195</v>
      </c>
      <c r="G9" s="2" t="s">
        <v>169</v>
      </c>
      <c r="H9" s="2" t="s">
        <v>156</v>
      </c>
      <c r="I9" s="2" t="s">
        <v>119</v>
      </c>
      <c r="J9" s="2" t="s">
        <v>180</v>
      </c>
      <c r="K9" s="2" t="s">
        <v>640</v>
      </c>
    </row>
    <row r="10" spans="1:11" s="2" customFormat="1" ht="75" x14ac:dyDescent="0.25">
      <c r="A10" s="8" t="s">
        <v>145</v>
      </c>
      <c r="B10" s="2" t="s">
        <v>11</v>
      </c>
      <c r="C10" s="2" t="s">
        <v>20</v>
      </c>
      <c r="D10" s="6" t="s">
        <v>236</v>
      </c>
      <c r="E10" s="6" t="s">
        <v>237</v>
      </c>
      <c r="F10" s="6" t="s">
        <v>238</v>
      </c>
      <c r="G10" s="2" t="s">
        <v>169</v>
      </c>
      <c r="H10" s="2" t="s">
        <v>156</v>
      </c>
      <c r="I10" s="2" t="s">
        <v>239</v>
      </c>
      <c r="J10" s="2" t="s">
        <v>180</v>
      </c>
      <c r="K10" s="2" t="s">
        <v>640</v>
      </c>
    </row>
    <row r="11" spans="1:11" s="2" customFormat="1" ht="60" x14ac:dyDescent="0.25">
      <c r="A11" s="8" t="s">
        <v>145</v>
      </c>
      <c r="B11" s="2" t="s">
        <v>11</v>
      </c>
      <c r="C11" s="2" t="s">
        <v>21</v>
      </c>
      <c r="D11" s="6" t="s">
        <v>240</v>
      </c>
      <c r="E11" s="6" t="s">
        <v>241</v>
      </c>
      <c r="F11" s="6" t="s">
        <v>242</v>
      </c>
      <c r="G11" s="2" t="s">
        <v>197</v>
      </c>
      <c r="H11" s="2" t="s">
        <v>156</v>
      </c>
      <c r="I11" s="2" t="s">
        <v>119</v>
      </c>
      <c r="J11" s="2" t="s">
        <v>180</v>
      </c>
      <c r="K11" s="2" t="s">
        <v>639</v>
      </c>
    </row>
    <row r="12" spans="1:11" s="2" customFormat="1" ht="60" x14ac:dyDescent="0.25">
      <c r="A12" s="8" t="s">
        <v>145</v>
      </c>
      <c r="B12" s="2" t="s">
        <v>11</v>
      </c>
      <c r="C12" s="2" t="s">
        <v>261</v>
      </c>
      <c r="D12" s="6" t="s">
        <v>262</v>
      </c>
      <c r="E12" s="6" t="s">
        <v>64</v>
      </c>
      <c r="F12" s="6" t="s">
        <v>95</v>
      </c>
      <c r="G12" s="2" t="s">
        <v>169</v>
      </c>
      <c r="H12" s="2" t="s">
        <v>158</v>
      </c>
      <c r="I12" s="2" t="s">
        <v>256</v>
      </c>
      <c r="J12" s="2">
        <v>0.1</v>
      </c>
      <c r="K12" s="2" t="s">
        <v>639</v>
      </c>
    </row>
    <row r="13" spans="1:11" s="2" customFormat="1" ht="45" x14ac:dyDescent="0.25">
      <c r="A13" s="8" t="s">
        <v>145</v>
      </c>
      <c r="B13" s="2" t="s">
        <v>11</v>
      </c>
      <c r="C13" s="2" t="s">
        <v>273</v>
      </c>
      <c r="D13" s="6" t="s">
        <v>274</v>
      </c>
      <c r="E13" s="6" t="s">
        <v>277</v>
      </c>
      <c r="F13" s="6" t="s">
        <v>276</v>
      </c>
      <c r="G13" s="2" t="s">
        <v>169</v>
      </c>
      <c r="H13" s="2" t="s">
        <v>158</v>
      </c>
      <c r="I13" s="2" t="s">
        <v>119</v>
      </c>
      <c r="J13" s="2">
        <v>0.1</v>
      </c>
      <c r="K13" s="2" t="s">
        <v>639</v>
      </c>
    </row>
    <row r="14" spans="1:11" s="2" customFormat="1" ht="60" x14ac:dyDescent="0.25">
      <c r="A14" s="8" t="s">
        <v>145</v>
      </c>
      <c r="B14" s="2" t="s">
        <v>14</v>
      </c>
      <c r="C14" s="2" t="s">
        <v>315</v>
      </c>
      <c r="D14" s="6" t="s">
        <v>44</v>
      </c>
      <c r="E14" s="6" t="s">
        <v>320</v>
      </c>
      <c r="F14" s="6" t="s">
        <v>321</v>
      </c>
      <c r="G14" s="2" t="s">
        <v>169</v>
      </c>
      <c r="H14" s="2" t="s">
        <v>158</v>
      </c>
      <c r="I14" s="2" t="s">
        <v>119</v>
      </c>
      <c r="J14" s="2">
        <v>0.1</v>
      </c>
      <c r="K14" s="2" t="s">
        <v>640</v>
      </c>
    </row>
    <row r="15" spans="1:11" s="2" customFormat="1" ht="45" x14ac:dyDescent="0.25">
      <c r="A15" s="8" t="s">
        <v>145</v>
      </c>
      <c r="B15" s="2" t="s">
        <v>14</v>
      </c>
      <c r="C15" s="2" t="s">
        <v>353</v>
      </c>
      <c r="D15" s="6" t="s">
        <v>363</v>
      </c>
      <c r="E15" s="6" t="s">
        <v>364</v>
      </c>
      <c r="F15" s="6" t="s">
        <v>365</v>
      </c>
      <c r="G15" s="2" t="s">
        <v>169</v>
      </c>
      <c r="H15" s="2" t="s">
        <v>202</v>
      </c>
      <c r="I15" s="2" t="s">
        <v>119</v>
      </c>
      <c r="J15" s="2">
        <v>0.1</v>
      </c>
      <c r="K15" s="2" t="s">
        <v>640</v>
      </c>
    </row>
    <row r="16" spans="1:11" s="2" customFormat="1" ht="60" x14ac:dyDescent="0.25">
      <c r="A16" s="8" t="s">
        <v>145</v>
      </c>
      <c r="B16" s="2" t="s">
        <v>15</v>
      </c>
      <c r="C16" s="2" t="s">
        <v>26</v>
      </c>
      <c r="D16" s="6" t="s">
        <v>400</v>
      </c>
      <c r="E16" s="6" t="s">
        <v>401</v>
      </c>
      <c r="F16" s="6" t="s">
        <v>402</v>
      </c>
      <c r="G16" s="2" t="s">
        <v>169</v>
      </c>
      <c r="H16" s="2" t="s">
        <v>156</v>
      </c>
      <c r="I16" s="2" t="s">
        <v>403</v>
      </c>
      <c r="J16" s="2" t="s">
        <v>180</v>
      </c>
      <c r="K16" s="2" t="s">
        <v>640</v>
      </c>
    </row>
    <row r="17" spans="1:11" s="2" customFormat="1" ht="60" x14ac:dyDescent="0.25">
      <c r="A17" s="8" t="s">
        <v>145</v>
      </c>
      <c r="B17" s="2" t="s">
        <v>15</v>
      </c>
      <c r="C17" s="2" t="s">
        <v>450</v>
      </c>
      <c r="D17" s="6" t="s">
        <v>451</v>
      </c>
      <c r="E17" s="6" t="s">
        <v>452</v>
      </c>
      <c r="F17" s="6" t="s">
        <v>453</v>
      </c>
      <c r="G17" s="2" t="s">
        <v>197</v>
      </c>
      <c r="H17" s="2" t="s">
        <v>156</v>
      </c>
      <c r="I17" s="19">
        <v>1</v>
      </c>
      <c r="J17" s="2" t="s">
        <v>180</v>
      </c>
      <c r="K17" s="2" t="s">
        <v>640</v>
      </c>
    </row>
    <row r="18" spans="1:11" s="2" customFormat="1" ht="75" x14ac:dyDescent="0.25">
      <c r="A18" s="8" t="s">
        <v>145</v>
      </c>
      <c r="B18" s="2" t="s">
        <v>15</v>
      </c>
      <c r="C18" s="2" t="s">
        <v>32</v>
      </c>
      <c r="D18" s="6" t="s">
        <v>532</v>
      </c>
      <c r="E18" s="6" t="s">
        <v>553</v>
      </c>
      <c r="F18" s="6" t="s">
        <v>554</v>
      </c>
      <c r="G18" s="2" t="s">
        <v>169</v>
      </c>
      <c r="H18" s="2" t="s">
        <v>156</v>
      </c>
      <c r="I18" s="2" t="s">
        <v>119</v>
      </c>
      <c r="J18" s="2" t="s">
        <v>180</v>
      </c>
      <c r="K18" s="2" t="s">
        <v>639</v>
      </c>
    </row>
    <row r="19" spans="1:11" s="2" customFormat="1" ht="60" x14ac:dyDescent="0.25">
      <c r="A19" s="8" t="s">
        <v>145</v>
      </c>
      <c r="B19" s="2" t="s">
        <v>15</v>
      </c>
      <c r="C19" s="2" t="s">
        <v>559</v>
      </c>
      <c r="D19" s="6" t="s">
        <v>560</v>
      </c>
      <c r="E19" s="6" t="s">
        <v>561</v>
      </c>
      <c r="F19" s="6" t="s">
        <v>562</v>
      </c>
      <c r="G19" s="2" t="s">
        <v>169</v>
      </c>
      <c r="H19" s="2" t="s">
        <v>158</v>
      </c>
      <c r="I19" s="2" t="s">
        <v>119</v>
      </c>
      <c r="J19" s="2">
        <v>0.1</v>
      </c>
      <c r="K19" s="2" t="s">
        <v>640</v>
      </c>
    </row>
    <row r="20" spans="1:11" s="2" customFormat="1" ht="75" x14ac:dyDescent="0.25">
      <c r="A20" s="8" t="s">
        <v>145</v>
      </c>
      <c r="B20" s="2" t="s">
        <v>15</v>
      </c>
      <c r="C20" s="2" t="s">
        <v>34</v>
      </c>
      <c r="D20" s="6" t="s">
        <v>592</v>
      </c>
      <c r="E20" s="6" t="s">
        <v>593</v>
      </c>
      <c r="F20" s="6" t="s">
        <v>594</v>
      </c>
      <c r="G20" s="2" t="s">
        <v>169</v>
      </c>
      <c r="H20" s="2" t="s">
        <v>158</v>
      </c>
      <c r="I20" s="2" t="s">
        <v>124</v>
      </c>
      <c r="J20" s="2">
        <v>0.05</v>
      </c>
      <c r="K20" s="2" t="s">
        <v>640</v>
      </c>
    </row>
    <row r="21" spans="1:11" s="2" customFormat="1" ht="45" x14ac:dyDescent="0.25">
      <c r="A21" s="8" t="s">
        <v>145</v>
      </c>
      <c r="B21" s="2" t="s">
        <v>9</v>
      </c>
      <c r="C21" s="2" t="s">
        <v>16</v>
      </c>
      <c r="D21" s="6" t="s">
        <v>621</v>
      </c>
      <c r="E21" s="6" t="s">
        <v>622</v>
      </c>
      <c r="F21" s="6" t="s">
        <v>87</v>
      </c>
      <c r="G21" s="2" t="s">
        <v>197</v>
      </c>
      <c r="H21" s="2" t="s">
        <v>156</v>
      </c>
      <c r="I21" s="2" t="s">
        <v>122</v>
      </c>
      <c r="J21" s="2" t="s">
        <v>157</v>
      </c>
      <c r="K21" s="2" t="s">
        <v>639</v>
      </c>
    </row>
    <row r="22" spans="1:11" s="2" customFormat="1" ht="60" x14ac:dyDescent="0.25">
      <c r="A22" s="8" t="s">
        <v>204</v>
      </c>
      <c r="B22" s="2" t="s">
        <v>11</v>
      </c>
      <c r="C22" s="2" t="s">
        <v>184</v>
      </c>
      <c r="D22" s="6" t="s">
        <v>205</v>
      </c>
      <c r="E22" s="6" t="s">
        <v>61</v>
      </c>
      <c r="F22" s="6" t="s">
        <v>92</v>
      </c>
      <c r="G22" s="2" t="s">
        <v>197</v>
      </c>
      <c r="H22" s="2" t="s">
        <v>156</v>
      </c>
      <c r="I22" s="19">
        <v>1</v>
      </c>
      <c r="J22" s="2" t="s">
        <v>180</v>
      </c>
      <c r="K22" s="2" t="s">
        <v>640</v>
      </c>
    </row>
    <row r="23" spans="1:11" s="2" customFormat="1" ht="60" x14ac:dyDescent="0.25">
      <c r="A23" s="8" t="s">
        <v>146</v>
      </c>
      <c r="B23" s="2" t="s">
        <v>11</v>
      </c>
      <c r="C23" s="2" t="s">
        <v>209</v>
      </c>
      <c r="D23" s="6" t="s">
        <v>216</v>
      </c>
      <c r="E23" s="6" t="s">
        <v>217</v>
      </c>
      <c r="F23" s="6" t="s">
        <v>93</v>
      </c>
      <c r="G23" s="2" t="s">
        <v>169</v>
      </c>
      <c r="H23" s="2" t="s">
        <v>158</v>
      </c>
      <c r="I23" s="2" t="s">
        <v>119</v>
      </c>
      <c r="J23" s="2" t="s">
        <v>180</v>
      </c>
      <c r="K23" s="2" t="s">
        <v>640</v>
      </c>
    </row>
    <row r="24" spans="1:11" s="2" customFormat="1" ht="60" x14ac:dyDescent="0.25">
      <c r="A24" s="8" t="s">
        <v>146</v>
      </c>
      <c r="B24" s="2" t="s">
        <v>11</v>
      </c>
      <c r="C24" s="2" t="s">
        <v>261</v>
      </c>
      <c r="D24" s="6" t="s">
        <v>262</v>
      </c>
      <c r="E24" s="6" t="s">
        <v>64</v>
      </c>
      <c r="F24" s="6" t="s">
        <v>95</v>
      </c>
      <c r="G24" s="2" t="s">
        <v>169</v>
      </c>
      <c r="H24" s="2" t="s">
        <v>202</v>
      </c>
      <c r="I24" s="2" t="s">
        <v>256</v>
      </c>
      <c r="J24" s="2">
        <v>0.1</v>
      </c>
      <c r="K24" s="2" t="s">
        <v>639</v>
      </c>
    </row>
    <row r="25" spans="1:11" s="2" customFormat="1" ht="45" x14ac:dyDescent="0.25">
      <c r="A25" s="8" t="s">
        <v>146</v>
      </c>
      <c r="B25" s="2" t="s">
        <v>11</v>
      </c>
      <c r="C25" s="2" t="s">
        <v>273</v>
      </c>
      <c r="D25" s="6" t="s">
        <v>274</v>
      </c>
      <c r="E25" s="6" t="s">
        <v>275</v>
      </c>
      <c r="F25" s="6" t="s">
        <v>276</v>
      </c>
      <c r="G25" s="2" t="s">
        <v>169</v>
      </c>
      <c r="H25" s="2" t="s">
        <v>202</v>
      </c>
      <c r="I25" s="2" t="s">
        <v>119</v>
      </c>
      <c r="J25" s="2">
        <v>0.1</v>
      </c>
      <c r="K25" s="2" t="s">
        <v>639</v>
      </c>
    </row>
    <row r="26" spans="1:11" s="2" customFormat="1" ht="60" x14ac:dyDescent="0.25">
      <c r="A26" s="8" t="s">
        <v>146</v>
      </c>
      <c r="B26" s="2" t="s">
        <v>14</v>
      </c>
      <c r="C26" s="2" t="s">
        <v>315</v>
      </c>
      <c r="D26" s="6" t="s">
        <v>317</v>
      </c>
      <c r="E26" s="6" t="s">
        <v>318</v>
      </c>
      <c r="F26" s="6" t="s">
        <v>319</v>
      </c>
      <c r="G26" s="2" t="s">
        <v>169</v>
      </c>
      <c r="H26" s="2" t="s">
        <v>158</v>
      </c>
      <c r="I26" s="2" t="s">
        <v>119</v>
      </c>
      <c r="J26" s="2">
        <v>0.1</v>
      </c>
      <c r="K26" s="2" t="s">
        <v>640</v>
      </c>
    </row>
    <row r="27" spans="1:11" s="2" customFormat="1" ht="60" x14ac:dyDescent="0.25">
      <c r="A27" s="8" t="s">
        <v>146</v>
      </c>
      <c r="B27" s="2" t="s">
        <v>14</v>
      </c>
      <c r="C27" s="2" t="s">
        <v>353</v>
      </c>
      <c r="D27" s="6" t="s">
        <v>360</v>
      </c>
      <c r="E27" s="6" t="s">
        <v>361</v>
      </c>
      <c r="F27" s="6" t="s">
        <v>362</v>
      </c>
      <c r="G27" s="2" t="s">
        <v>169</v>
      </c>
      <c r="H27" s="2" t="s">
        <v>202</v>
      </c>
      <c r="I27" s="2" t="s">
        <v>119</v>
      </c>
      <c r="J27" s="2">
        <v>0.1</v>
      </c>
      <c r="K27" s="2" t="s">
        <v>640</v>
      </c>
    </row>
    <row r="28" spans="1:11" s="2" customFormat="1" ht="60" x14ac:dyDescent="0.25">
      <c r="A28" s="8" t="s">
        <v>146</v>
      </c>
      <c r="B28" s="2" t="s">
        <v>15</v>
      </c>
      <c r="C28" s="2" t="s">
        <v>467</v>
      </c>
      <c r="D28" s="6" t="s">
        <v>471</v>
      </c>
      <c r="E28" s="6" t="s">
        <v>472</v>
      </c>
      <c r="F28" s="6" t="s">
        <v>473</v>
      </c>
      <c r="G28" s="2" t="s">
        <v>169</v>
      </c>
      <c r="H28" s="2" t="s">
        <v>156</v>
      </c>
      <c r="I28" s="2" t="s">
        <v>119</v>
      </c>
      <c r="J28" s="2" t="s">
        <v>180</v>
      </c>
      <c r="K28" s="2" t="s">
        <v>640</v>
      </c>
    </row>
    <row r="29" spans="1:11" s="2" customFormat="1" ht="60" x14ac:dyDescent="0.25">
      <c r="A29" s="8" t="s">
        <v>146</v>
      </c>
      <c r="B29" s="2" t="s">
        <v>15</v>
      </c>
      <c r="C29" s="2" t="s">
        <v>32</v>
      </c>
      <c r="D29" s="6" t="s">
        <v>529</v>
      </c>
      <c r="E29" s="6" t="s">
        <v>530</v>
      </c>
      <c r="F29" s="6" t="s">
        <v>531</v>
      </c>
      <c r="G29" s="2" t="s">
        <v>169</v>
      </c>
      <c r="H29" s="2" t="s">
        <v>156</v>
      </c>
      <c r="I29" s="2" t="s">
        <v>119</v>
      </c>
      <c r="J29" s="2" t="s">
        <v>180</v>
      </c>
      <c r="K29" s="2" t="s">
        <v>639</v>
      </c>
    </row>
    <row r="30" spans="1:11" s="2" customFormat="1" ht="45" x14ac:dyDescent="0.25">
      <c r="A30" s="8" t="s">
        <v>146</v>
      </c>
      <c r="B30" s="2" t="s">
        <v>9</v>
      </c>
      <c r="C30" s="2" t="s">
        <v>16</v>
      </c>
      <c r="D30" s="6" t="s">
        <v>621</v>
      </c>
      <c r="E30" s="6" t="s">
        <v>622</v>
      </c>
      <c r="F30" s="6" t="s">
        <v>87</v>
      </c>
      <c r="G30" s="2" t="s">
        <v>197</v>
      </c>
      <c r="H30" s="2" t="s">
        <v>156</v>
      </c>
      <c r="I30" s="2" t="s">
        <v>122</v>
      </c>
      <c r="J30" s="2" t="s">
        <v>157</v>
      </c>
      <c r="K30" s="2" t="s">
        <v>639</v>
      </c>
    </row>
    <row r="31" spans="1:11" s="2" customFormat="1" ht="60" x14ac:dyDescent="0.25">
      <c r="A31" s="8" t="s">
        <v>305</v>
      </c>
      <c r="B31" s="2" t="s">
        <v>12</v>
      </c>
      <c r="C31" s="2" t="s">
        <v>301</v>
      </c>
      <c r="D31" s="6" t="s">
        <v>306</v>
      </c>
      <c r="E31" s="6" t="s">
        <v>69</v>
      </c>
      <c r="F31" s="6" t="s">
        <v>307</v>
      </c>
      <c r="G31" s="2" t="s">
        <v>169</v>
      </c>
      <c r="H31" s="2" t="s">
        <v>156</v>
      </c>
      <c r="I31" s="2" t="s">
        <v>123</v>
      </c>
      <c r="J31" s="2" t="s">
        <v>180</v>
      </c>
      <c r="K31" s="2" t="s">
        <v>639</v>
      </c>
    </row>
    <row r="32" spans="1:11" s="2" customFormat="1" ht="75" x14ac:dyDescent="0.25">
      <c r="A32" s="8" t="s">
        <v>305</v>
      </c>
      <c r="B32" s="2" t="s">
        <v>15</v>
      </c>
      <c r="C32" s="2" t="s">
        <v>514</v>
      </c>
      <c r="D32" s="6" t="s">
        <v>515</v>
      </c>
      <c r="E32" s="6" t="s">
        <v>516</v>
      </c>
      <c r="F32" s="6" t="s">
        <v>517</v>
      </c>
      <c r="G32" s="2" t="s">
        <v>169</v>
      </c>
      <c r="H32" s="2" t="s">
        <v>156</v>
      </c>
      <c r="I32" s="2" t="s">
        <v>518</v>
      </c>
      <c r="J32" s="2" t="s">
        <v>180</v>
      </c>
      <c r="K32" s="2" t="s">
        <v>639</v>
      </c>
    </row>
    <row r="33" spans="1:11" s="2" customFormat="1" ht="45" x14ac:dyDescent="0.25">
      <c r="A33" s="8" t="s">
        <v>305</v>
      </c>
      <c r="B33" s="2" t="s">
        <v>15</v>
      </c>
      <c r="C33" s="2" t="s">
        <v>30</v>
      </c>
      <c r="D33" s="6" t="s">
        <v>519</v>
      </c>
      <c r="E33" s="6" t="s">
        <v>520</v>
      </c>
      <c r="F33" s="6" t="s">
        <v>521</v>
      </c>
      <c r="G33" s="2" t="s">
        <v>169</v>
      </c>
      <c r="H33" s="2" t="s">
        <v>156</v>
      </c>
      <c r="I33" s="2" t="s">
        <v>522</v>
      </c>
      <c r="J33" s="2">
        <v>0.1</v>
      </c>
      <c r="K33" s="2" t="s">
        <v>640</v>
      </c>
    </row>
    <row r="34" spans="1:11" s="2" customFormat="1" ht="45" x14ac:dyDescent="0.25">
      <c r="A34" s="8" t="s">
        <v>155</v>
      </c>
      <c r="B34" s="2" t="s">
        <v>9</v>
      </c>
      <c r="C34" s="2" t="s">
        <v>16</v>
      </c>
      <c r="D34" s="6" t="s">
        <v>621</v>
      </c>
      <c r="E34" s="6" t="s">
        <v>622</v>
      </c>
      <c r="F34" s="6" t="s">
        <v>87</v>
      </c>
      <c r="G34" s="2" t="s">
        <v>197</v>
      </c>
      <c r="H34" s="2" t="s">
        <v>158</v>
      </c>
      <c r="I34" s="2" t="s">
        <v>122</v>
      </c>
      <c r="J34" s="2">
        <v>0.1</v>
      </c>
      <c r="K34" s="2" t="s">
        <v>639</v>
      </c>
    </row>
    <row r="35" spans="1:11" s="2" customFormat="1" ht="60" x14ac:dyDescent="0.25">
      <c r="A35" s="8" t="s">
        <v>126</v>
      </c>
      <c r="B35" s="2" t="s">
        <v>11</v>
      </c>
      <c r="C35" s="2" t="s">
        <v>261</v>
      </c>
      <c r="D35" s="6" t="s">
        <v>266</v>
      </c>
      <c r="E35" s="6" t="s">
        <v>66</v>
      </c>
      <c r="F35" s="6" t="s">
        <v>96</v>
      </c>
      <c r="G35" s="2" t="s">
        <v>169</v>
      </c>
      <c r="H35" s="2" t="s">
        <v>156</v>
      </c>
      <c r="I35" s="19">
        <v>1</v>
      </c>
      <c r="J35" s="2" t="s">
        <v>180</v>
      </c>
      <c r="K35" s="2" t="s">
        <v>639</v>
      </c>
    </row>
    <row r="36" spans="1:11" s="2" customFormat="1" ht="60" x14ac:dyDescent="0.25">
      <c r="A36" s="8" t="s">
        <v>126</v>
      </c>
      <c r="B36" s="2" t="s">
        <v>14</v>
      </c>
      <c r="C36" s="2" t="s">
        <v>353</v>
      </c>
      <c r="D36" s="6" t="s">
        <v>357</v>
      </c>
      <c r="E36" s="6" t="s">
        <v>358</v>
      </c>
      <c r="F36" s="6" t="s">
        <v>359</v>
      </c>
      <c r="G36" s="2" t="s">
        <v>169</v>
      </c>
      <c r="H36" s="2" t="s">
        <v>156</v>
      </c>
      <c r="I36" s="2" t="s">
        <v>119</v>
      </c>
      <c r="J36" s="2" t="s">
        <v>180</v>
      </c>
      <c r="K36" s="2" t="s">
        <v>640</v>
      </c>
    </row>
    <row r="37" spans="1:11" s="2" customFormat="1" ht="45" x14ac:dyDescent="0.25">
      <c r="A37" s="8" t="s">
        <v>126</v>
      </c>
      <c r="B37" s="2" t="s">
        <v>9</v>
      </c>
      <c r="C37" s="2" t="s">
        <v>16</v>
      </c>
      <c r="D37" s="6" t="s">
        <v>621</v>
      </c>
      <c r="E37" s="6" t="s">
        <v>622</v>
      </c>
      <c r="F37" s="6" t="s">
        <v>87</v>
      </c>
      <c r="G37" s="2" t="s">
        <v>197</v>
      </c>
      <c r="H37" s="2" t="s">
        <v>158</v>
      </c>
      <c r="I37" s="2" t="s">
        <v>122</v>
      </c>
      <c r="J37" s="2">
        <v>0.1</v>
      </c>
      <c r="K37" s="2" t="s">
        <v>639</v>
      </c>
    </row>
    <row r="38" spans="1:11" s="2" customFormat="1" ht="60" x14ac:dyDescent="0.25">
      <c r="A38" s="8" t="s">
        <v>147</v>
      </c>
      <c r="B38" s="2" t="s">
        <v>9</v>
      </c>
      <c r="C38" s="2" t="s">
        <v>162</v>
      </c>
      <c r="D38" s="6" t="s">
        <v>163</v>
      </c>
      <c r="E38" s="6" t="s">
        <v>59</v>
      </c>
      <c r="F38" s="6" t="s">
        <v>88</v>
      </c>
      <c r="G38" s="2" t="s">
        <v>164</v>
      </c>
      <c r="H38" s="2" t="s">
        <v>156</v>
      </c>
      <c r="I38" s="2" t="s">
        <v>119</v>
      </c>
      <c r="J38" s="2">
        <v>0.1</v>
      </c>
      <c r="K38" s="2" t="s">
        <v>640</v>
      </c>
    </row>
    <row r="39" spans="1:11" s="2" customFormat="1" ht="60" x14ac:dyDescent="0.25">
      <c r="A39" s="8" t="s">
        <v>147</v>
      </c>
      <c r="B39" s="2" t="s">
        <v>11</v>
      </c>
      <c r="C39" s="2" t="s">
        <v>209</v>
      </c>
      <c r="D39" s="6" t="s">
        <v>219</v>
      </c>
      <c r="E39" s="6" t="s">
        <v>220</v>
      </c>
      <c r="F39" s="6" t="s">
        <v>93</v>
      </c>
      <c r="G39" s="2" t="s">
        <v>169</v>
      </c>
      <c r="H39" s="2" t="s">
        <v>156</v>
      </c>
      <c r="I39" s="2" t="s">
        <v>119</v>
      </c>
      <c r="J39" s="2" t="s">
        <v>180</v>
      </c>
      <c r="K39" s="2" t="s">
        <v>640</v>
      </c>
    </row>
    <row r="40" spans="1:11" s="2" customFormat="1" ht="60" x14ac:dyDescent="0.25">
      <c r="A40" s="8" t="s">
        <v>147</v>
      </c>
      <c r="B40" s="2" t="s">
        <v>11</v>
      </c>
      <c r="C40" s="2" t="s">
        <v>261</v>
      </c>
      <c r="D40" s="6" t="s">
        <v>262</v>
      </c>
      <c r="E40" s="6" t="s">
        <v>64</v>
      </c>
      <c r="F40" s="6" t="s">
        <v>95</v>
      </c>
      <c r="G40" s="2" t="s">
        <v>169</v>
      </c>
      <c r="H40" s="2" t="s">
        <v>158</v>
      </c>
      <c r="I40" s="2" t="s">
        <v>256</v>
      </c>
      <c r="J40" s="2">
        <v>0.1</v>
      </c>
      <c r="K40" s="2" t="s">
        <v>639</v>
      </c>
    </row>
    <row r="41" spans="1:11" s="2" customFormat="1" ht="45" x14ac:dyDescent="0.25">
      <c r="A41" s="8" t="s">
        <v>147</v>
      </c>
      <c r="B41" s="2" t="s">
        <v>11</v>
      </c>
      <c r="C41" s="2" t="s">
        <v>273</v>
      </c>
      <c r="D41" s="6" t="s">
        <v>274</v>
      </c>
      <c r="E41" s="6" t="s">
        <v>275</v>
      </c>
      <c r="F41" s="6" t="s">
        <v>276</v>
      </c>
      <c r="G41" s="2" t="s">
        <v>169</v>
      </c>
      <c r="H41" s="2" t="s">
        <v>158</v>
      </c>
      <c r="I41" s="2" t="s">
        <v>119</v>
      </c>
      <c r="J41" s="2">
        <v>0.1</v>
      </c>
      <c r="K41" s="2" t="s">
        <v>639</v>
      </c>
    </row>
    <row r="42" spans="1:11" s="2" customFormat="1" ht="60" x14ac:dyDescent="0.25">
      <c r="A42" s="8" t="s">
        <v>147</v>
      </c>
      <c r="B42" s="2" t="s">
        <v>14</v>
      </c>
      <c r="C42" s="2" t="s">
        <v>315</v>
      </c>
      <c r="D42" s="6" t="s">
        <v>336</v>
      </c>
      <c r="E42" s="6" t="s">
        <v>337</v>
      </c>
      <c r="F42" s="6" t="s">
        <v>338</v>
      </c>
      <c r="G42" s="2" t="s">
        <v>169</v>
      </c>
      <c r="H42" s="2" t="s">
        <v>158</v>
      </c>
      <c r="I42" s="2" t="s">
        <v>119</v>
      </c>
      <c r="J42" s="2">
        <v>0.1</v>
      </c>
      <c r="K42" s="2" t="s">
        <v>640</v>
      </c>
    </row>
    <row r="43" spans="1:11" s="2" customFormat="1" ht="45" x14ac:dyDescent="0.25">
      <c r="A43" s="8" t="s">
        <v>147</v>
      </c>
      <c r="B43" s="2" t="s">
        <v>14</v>
      </c>
      <c r="C43" s="2" t="s">
        <v>353</v>
      </c>
      <c r="D43" s="6" t="s">
        <v>48</v>
      </c>
      <c r="E43" s="6" t="s">
        <v>73</v>
      </c>
      <c r="F43" s="6" t="s">
        <v>365</v>
      </c>
      <c r="G43" s="2" t="s">
        <v>169</v>
      </c>
      <c r="H43" s="2" t="s">
        <v>158</v>
      </c>
      <c r="I43" s="2" t="s">
        <v>119</v>
      </c>
      <c r="J43" s="2">
        <v>0.1</v>
      </c>
      <c r="K43" s="2" t="s">
        <v>640</v>
      </c>
    </row>
    <row r="44" spans="1:11" s="2" customFormat="1" ht="60" x14ac:dyDescent="0.25">
      <c r="A44" s="8" t="s">
        <v>147</v>
      </c>
      <c r="B44" s="2" t="s">
        <v>15</v>
      </c>
      <c r="C44" s="2" t="s">
        <v>467</v>
      </c>
      <c r="D44" s="6" t="s">
        <v>477</v>
      </c>
      <c r="E44" s="6" t="s">
        <v>478</v>
      </c>
      <c r="F44" s="6" t="s">
        <v>479</v>
      </c>
      <c r="G44" s="2" t="s">
        <v>169</v>
      </c>
      <c r="H44" s="2" t="s">
        <v>156</v>
      </c>
      <c r="I44" s="2" t="s">
        <v>119</v>
      </c>
      <c r="J44" s="2" t="s">
        <v>180</v>
      </c>
      <c r="K44" s="2" t="s">
        <v>640</v>
      </c>
    </row>
    <row r="45" spans="1:11" s="2" customFormat="1" ht="75" x14ac:dyDescent="0.25">
      <c r="A45" s="8" t="s">
        <v>147</v>
      </c>
      <c r="B45" s="2" t="s">
        <v>15</v>
      </c>
      <c r="C45" s="2" t="s">
        <v>32</v>
      </c>
      <c r="D45" s="6" t="s">
        <v>532</v>
      </c>
      <c r="E45" s="6" t="s">
        <v>543</v>
      </c>
      <c r="F45" s="6" t="s">
        <v>544</v>
      </c>
      <c r="G45" s="2" t="s">
        <v>169</v>
      </c>
      <c r="H45" s="2" t="s">
        <v>156</v>
      </c>
      <c r="I45" s="2" t="s">
        <v>119</v>
      </c>
      <c r="J45" s="2" t="s">
        <v>180</v>
      </c>
      <c r="K45" s="2" t="s">
        <v>639</v>
      </c>
    </row>
    <row r="46" spans="1:11" s="2" customFormat="1" ht="45" x14ac:dyDescent="0.25">
      <c r="A46" s="8" t="s">
        <v>147</v>
      </c>
      <c r="B46" s="2" t="s">
        <v>9</v>
      </c>
      <c r="C46" s="2" t="s">
        <v>16</v>
      </c>
      <c r="D46" s="6" t="s">
        <v>621</v>
      </c>
      <c r="E46" s="6" t="s">
        <v>622</v>
      </c>
      <c r="F46" s="6" t="s">
        <v>87</v>
      </c>
      <c r="G46" s="2" t="s">
        <v>197</v>
      </c>
      <c r="H46" s="2" t="s">
        <v>156</v>
      </c>
      <c r="I46" s="2" t="s">
        <v>122</v>
      </c>
      <c r="J46" s="2" t="s">
        <v>157</v>
      </c>
      <c r="K46" s="2" t="s">
        <v>639</v>
      </c>
    </row>
    <row r="47" spans="1:11" s="2" customFormat="1" ht="60" x14ac:dyDescent="0.25">
      <c r="A47" s="8" t="s">
        <v>462</v>
      </c>
      <c r="B47" s="2" t="s">
        <v>15</v>
      </c>
      <c r="C47" s="2" t="s">
        <v>461</v>
      </c>
      <c r="D47" s="6" t="s">
        <v>463</v>
      </c>
      <c r="E47" s="6" t="s">
        <v>464</v>
      </c>
      <c r="F47" s="6" t="s">
        <v>465</v>
      </c>
      <c r="G47" s="2" t="s">
        <v>169</v>
      </c>
      <c r="H47" s="2" t="s">
        <v>158</v>
      </c>
      <c r="I47" s="2" t="s">
        <v>119</v>
      </c>
      <c r="J47" s="2">
        <v>0.1</v>
      </c>
      <c r="K47" s="2" t="s">
        <v>639</v>
      </c>
    </row>
    <row r="48" spans="1:11" s="2" customFormat="1" ht="60" x14ac:dyDescent="0.25">
      <c r="A48" s="8" t="s">
        <v>462</v>
      </c>
      <c r="B48" s="2" t="s">
        <v>15</v>
      </c>
      <c r="C48" s="2" t="s">
        <v>467</v>
      </c>
      <c r="D48" s="6" t="s">
        <v>468</v>
      </c>
      <c r="E48" s="6" t="s">
        <v>469</v>
      </c>
      <c r="F48" s="6" t="s">
        <v>470</v>
      </c>
      <c r="G48" s="2" t="s">
        <v>169</v>
      </c>
      <c r="H48" s="2" t="s">
        <v>156</v>
      </c>
      <c r="I48" s="2" t="s">
        <v>119</v>
      </c>
      <c r="J48" s="2" t="s">
        <v>180</v>
      </c>
      <c r="K48" s="2" t="s">
        <v>640</v>
      </c>
    </row>
    <row r="49" spans="1:11" s="2" customFormat="1" ht="45" x14ac:dyDescent="0.25">
      <c r="A49" s="8" t="s">
        <v>462</v>
      </c>
      <c r="B49" s="2" t="s">
        <v>15</v>
      </c>
      <c r="C49" s="2" t="s">
        <v>28</v>
      </c>
      <c r="D49" s="6" t="s">
        <v>53</v>
      </c>
      <c r="E49" s="6" t="s">
        <v>79</v>
      </c>
      <c r="F49" s="6" t="s">
        <v>507</v>
      </c>
      <c r="G49" s="2" t="s">
        <v>169</v>
      </c>
      <c r="H49" s="2" t="s">
        <v>158</v>
      </c>
      <c r="I49" s="2" t="s">
        <v>119</v>
      </c>
      <c r="J49" s="2">
        <v>0.1</v>
      </c>
      <c r="K49" s="2" t="s">
        <v>640</v>
      </c>
    </row>
    <row r="50" spans="1:11" s="2" customFormat="1" ht="60" x14ac:dyDescent="0.25">
      <c r="A50" s="8" t="s">
        <v>446</v>
      </c>
      <c r="B50" s="2" t="s">
        <v>15</v>
      </c>
      <c r="C50" s="2" t="s">
        <v>27</v>
      </c>
      <c r="D50" s="6" t="s">
        <v>447</v>
      </c>
      <c r="E50" s="6" t="s">
        <v>448</v>
      </c>
      <c r="F50" s="6" t="s">
        <v>449</v>
      </c>
      <c r="G50" s="2" t="s">
        <v>169</v>
      </c>
      <c r="H50" s="2" t="s">
        <v>158</v>
      </c>
      <c r="I50" s="2" t="s">
        <v>119</v>
      </c>
      <c r="J50" s="2" t="s">
        <v>180</v>
      </c>
      <c r="K50" s="2" t="s">
        <v>640</v>
      </c>
    </row>
    <row r="51" spans="1:11" s="2" customFormat="1" ht="60" x14ac:dyDescent="0.25">
      <c r="A51" s="8" t="s">
        <v>148</v>
      </c>
      <c r="B51" s="2" t="s">
        <v>9</v>
      </c>
      <c r="C51" s="2" t="s">
        <v>162</v>
      </c>
      <c r="D51" s="6" t="s">
        <v>163</v>
      </c>
      <c r="E51" s="6" t="s">
        <v>59</v>
      </c>
      <c r="F51" s="6" t="s">
        <v>88</v>
      </c>
      <c r="G51" s="2" t="s">
        <v>164</v>
      </c>
      <c r="H51" s="2" t="s">
        <v>156</v>
      </c>
      <c r="I51" s="2" t="s">
        <v>119</v>
      </c>
      <c r="J51" s="2">
        <v>0.1</v>
      </c>
      <c r="K51" s="2" t="s">
        <v>640</v>
      </c>
    </row>
    <row r="52" spans="1:11" s="2" customFormat="1" ht="60" x14ac:dyDescent="0.25">
      <c r="A52" s="8" t="s">
        <v>148</v>
      </c>
      <c r="B52" s="2" t="s">
        <v>11</v>
      </c>
      <c r="C52" s="2" t="s">
        <v>184</v>
      </c>
      <c r="D52" s="6" t="s">
        <v>193</v>
      </c>
      <c r="E52" s="6" t="s">
        <v>196</v>
      </c>
      <c r="F52" s="6" t="s">
        <v>195</v>
      </c>
      <c r="G52" s="2" t="s">
        <v>169</v>
      </c>
      <c r="H52" s="2" t="s">
        <v>156</v>
      </c>
      <c r="I52" s="2" t="s">
        <v>119</v>
      </c>
      <c r="J52" s="2" t="s">
        <v>180</v>
      </c>
      <c r="K52" s="2" t="s">
        <v>640</v>
      </c>
    </row>
    <row r="53" spans="1:11" s="2" customFormat="1" ht="60" x14ac:dyDescent="0.25">
      <c r="A53" s="8" t="s">
        <v>148</v>
      </c>
      <c r="B53" s="2" t="s">
        <v>11</v>
      </c>
      <c r="C53" s="2" t="s">
        <v>209</v>
      </c>
      <c r="D53" s="6" t="s">
        <v>218</v>
      </c>
      <c r="E53" s="6" t="s">
        <v>213</v>
      </c>
      <c r="F53" s="6" t="s">
        <v>93</v>
      </c>
      <c r="G53" s="2" t="s">
        <v>169</v>
      </c>
      <c r="H53" s="2" t="s">
        <v>156</v>
      </c>
      <c r="I53" s="2" t="s">
        <v>119</v>
      </c>
      <c r="J53" s="2" t="s">
        <v>180</v>
      </c>
      <c r="K53" s="2" t="s">
        <v>640</v>
      </c>
    </row>
    <row r="54" spans="1:11" s="2" customFormat="1" ht="60" x14ac:dyDescent="0.25">
      <c r="A54" s="8" t="s">
        <v>148</v>
      </c>
      <c r="B54" s="2" t="s">
        <v>11</v>
      </c>
      <c r="C54" s="2" t="s">
        <v>21</v>
      </c>
      <c r="D54" s="6" t="s">
        <v>240</v>
      </c>
      <c r="E54" s="6" t="s">
        <v>243</v>
      </c>
      <c r="F54" s="6" t="s">
        <v>244</v>
      </c>
      <c r="G54" s="2" t="s">
        <v>197</v>
      </c>
      <c r="H54" s="2" t="s">
        <v>156</v>
      </c>
      <c r="I54" s="2" t="s">
        <v>119</v>
      </c>
      <c r="J54" s="2" t="s">
        <v>180</v>
      </c>
      <c r="K54" s="2" t="s">
        <v>639</v>
      </c>
    </row>
    <row r="55" spans="1:11" s="2" customFormat="1" ht="60" x14ac:dyDescent="0.25">
      <c r="A55" s="8" t="s">
        <v>148</v>
      </c>
      <c r="B55" s="2" t="s">
        <v>11</v>
      </c>
      <c r="C55" s="2" t="s">
        <v>261</v>
      </c>
      <c r="D55" s="6" t="s">
        <v>262</v>
      </c>
      <c r="E55" s="6" t="s">
        <v>64</v>
      </c>
      <c r="F55" s="6" t="s">
        <v>95</v>
      </c>
      <c r="G55" s="2" t="s">
        <v>169</v>
      </c>
      <c r="H55" s="2" t="s">
        <v>158</v>
      </c>
      <c r="I55" s="2" t="s">
        <v>256</v>
      </c>
      <c r="J55" s="2">
        <v>0.1</v>
      </c>
      <c r="K55" s="2" t="s">
        <v>639</v>
      </c>
    </row>
    <row r="56" spans="1:11" s="2" customFormat="1" ht="45" x14ac:dyDescent="0.25">
      <c r="A56" s="8" t="s">
        <v>148</v>
      </c>
      <c r="B56" s="2" t="s">
        <v>11</v>
      </c>
      <c r="C56" s="2" t="s">
        <v>273</v>
      </c>
      <c r="D56" s="6" t="s">
        <v>274</v>
      </c>
      <c r="E56" s="6" t="s">
        <v>275</v>
      </c>
      <c r="F56" s="6" t="s">
        <v>276</v>
      </c>
      <c r="G56" s="2" t="s">
        <v>169</v>
      </c>
      <c r="H56" s="2" t="s">
        <v>158</v>
      </c>
      <c r="I56" s="2" t="s">
        <v>119</v>
      </c>
      <c r="J56" s="2">
        <v>0.1</v>
      </c>
      <c r="K56" s="2" t="s">
        <v>639</v>
      </c>
    </row>
    <row r="57" spans="1:11" s="2" customFormat="1" ht="75" x14ac:dyDescent="0.25">
      <c r="A57" s="8" t="s">
        <v>148</v>
      </c>
      <c r="B57" s="2" t="s">
        <v>14</v>
      </c>
      <c r="C57" s="2" t="s">
        <v>315</v>
      </c>
      <c r="D57" s="6" t="s">
        <v>329</v>
      </c>
      <c r="E57" s="6" t="s">
        <v>330</v>
      </c>
      <c r="F57" s="6" t="s">
        <v>331</v>
      </c>
      <c r="G57" s="2" t="s">
        <v>169</v>
      </c>
      <c r="H57" s="2" t="s">
        <v>158</v>
      </c>
      <c r="I57" s="2" t="s">
        <v>119</v>
      </c>
      <c r="J57" s="2">
        <v>0.1</v>
      </c>
      <c r="K57" s="2" t="s">
        <v>640</v>
      </c>
    </row>
    <row r="58" spans="1:11" s="2" customFormat="1" ht="60" x14ac:dyDescent="0.25">
      <c r="A58" s="8" t="s">
        <v>148</v>
      </c>
      <c r="B58" s="2" t="s">
        <v>15</v>
      </c>
      <c r="C58" s="2" t="s">
        <v>467</v>
      </c>
      <c r="D58" s="6" t="s">
        <v>474</v>
      </c>
      <c r="E58" s="6" t="s">
        <v>475</v>
      </c>
      <c r="F58" s="6" t="s">
        <v>476</v>
      </c>
      <c r="G58" s="2" t="s">
        <v>169</v>
      </c>
      <c r="H58" s="2" t="s">
        <v>156</v>
      </c>
      <c r="I58" s="2" t="s">
        <v>119</v>
      </c>
      <c r="J58" s="2" t="s">
        <v>180</v>
      </c>
      <c r="K58" s="2" t="s">
        <v>640</v>
      </c>
    </row>
    <row r="59" spans="1:11" s="2" customFormat="1" ht="75" x14ac:dyDescent="0.25">
      <c r="A59" s="8" t="s">
        <v>148</v>
      </c>
      <c r="B59" s="2" t="s">
        <v>15</v>
      </c>
      <c r="C59" s="2" t="s">
        <v>32</v>
      </c>
      <c r="D59" s="6" t="s">
        <v>537</v>
      </c>
      <c r="E59" s="6" t="s">
        <v>538</v>
      </c>
      <c r="F59" s="6" t="s">
        <v>539</v>
      </c>
      <c r="G59" s="2" t="s">
        <v>169</v>
      </c>
      <c r="H59" s="2" t="s">
        <v>156</v>
      </c>
      <c r="I59" s="2" t="s">
        <v>119</v>
      </c>
      <c r="J59" s="2" t="s">
        <v>180</v>
      </c>
      <c r="K59" s="2" t="s">
        <v>639</v>
      </c>
    </row>
    <row r="60" spans="1:11" s="2" customFormat="1" ht="45" x14ac:dyDescent="0.25">
      <c r="A60" s="8" t="s">
        <v>148</v>
      </c>
      <c r="B60" s="2" t="s">
        <v>9</v>
      </c>
      <c r="C60" s="2" t="s">
        <v>16</v>
      </c>
      <c r="D60" s="6" t="s">
        <v>621</v>
      </c>
      <c r="E60" s="6" t="s">
        <v>622</v>
      </c>
      <c r="F60" s="6" t="s">
        <v>87</v>
      </c>
      <c r="G60" s="2" t="s">
        <v>197</v>
      </c>
      <c r="H60" s="2" t="s">
        <v>156</v>
      </c>
      <c r="I60" s="2" t="s">
        <v>122</v>
      </c>
      <c r="J60" s="2" t="s">
        <v>157</v>
      </c>
      <c r="K60" s="2" t="s">
        <v>639</v>
      </c>
    </row>
    <row r="61" spans="1:11" s="2" customFormat="1" ht="60" x14ac:dyDescent="0.25">
      <c r="A61" s="8" t="s">
        <v>223</v>
      </c>
      <c r="B61" s="2" t="s">
        <v>11</v>
      </c>
      <c r="C61" s="2" t="s">
        <v>19</v>
      </c>
      <c r="D61" s="6" t="s">
        <v>224</v>
      </c>
      <c r="E61" s="6" t="s">
        <v>225</v>
      </c>
      <c r="F61" s="6" t="s">
        <v>226</v>
      </c>
      <c r="G61" s="2" t="s">
        <v>169</v>
      </c>
      <c r="H61" s="2" t="s">
        <v>158</v>
      </c>
      <c r="I61" s="2" t="s">
        <v>119</v>
      </c>
      <c r="J61" s="2">
        <v>0.1</v>
      </c>
      <c r="K61" s="2" t="s">
        <v>640</v>
      </c>
    </row>
    <row r="62" spans="1:11" s="2" customFormat="1" ht="45" x14ac:dyDescent="0.25">
      <c r="A62" s="8" t="s">
        <v>441</v>
      </c>
      <c r="B62" s="2" t="s">
        <v>15</v>
      </c>
      <c r="C62" s="2" t="s">
        <v>439</v>
      </c>
      <c r="D62" s="6" t="s">
        <v>49</v>
      </c>
      <c r="E62" s="6" t="s">
        <v>75</v>
      </c>
      <c r="F62" s="6" t="s">
        <v>108</v>
      </c>
      <c r="G62" s="2" t="s">
        <v>169</v>
      </c>
      <c r="H62" s="2" t="s">
        <v>156</v>
      </c>
      <c r="I62" s="2" t="s">
        <v>119</v>
      </c>
      <c r="J62" s="2" t="s">
        <v>180</v>
      </c>
      <c r="K62" s="2" t="s">
        <v>640</v>
      </c>
    </row>
    <row r="63" spans="1:11" s="2" customFormat="1" ht="45" x14ac:dyDescent="0.25">
      <c r="A63" s="8" t="s">
        <v>509</v>
      </c>
      <c r="B63" s="2" t="s">
        <v>15</v>
      </c>
      <c r="C63" s="2" t="s">
        <v>508</v>
      </c>
      <c r="D63" s="6" t="s">
        <v>510</v>
      </c>
      <c r="E63" s="6" t="s">
        <v>80</v>
      </c>
      <c r="F63" s="6" t="s">
        <v>511</v>
      </c>
      <c r="G63" s="2" t="s">
        <v>169</v>
      </c>
      <c r="H63" s="2" t="s">
        <v>158</v>
      </c>
      <c r="I63" s="2" t="s">
        <v>119</v>
      </c>
      <c r="J63" s="2">
        <v>0.1</v>
      </c>
      <c r="K63" s="2" t="s">
        <v>639</v>
      </c>
    </row>
    <row r="64" spans="1:11" s="2" customFormat="1" ht="60" x14ac:dyDescent="0.25">
      <c r="A64" s="8" t="s">
        <v>153</v>
      </c>
      <c r="B64" s="2" t="s">
        <v>9</v>
      </c>
      <c r="C64" s="2" t="s">
        <v>162</v>
      </c>
      <c r="D64" s="6" t="s">
        <v>163</v>
      </c>
      <c r="E64" s="6" t="s">
        <v>59</v>
      </c>
      <c r="F64" s="6" t="s">
        <v>88</v>
      </c>
      <c r="G64" s="2" t="s">
        <v>164</v>
      </c>
      <c r="H64" s="2" t="s">
        <v>156</v>
      </c>
      <c r="I64" s="2" t="s">
        <v>119</v>
      </c>
      <c r="J64" s="2">
        <v>0.1</v>
      </c>
      <c r="K64" s="2" t="s">
        <v>640</v>
      </c>
    </row>
    <row r="65" spans="1:11" s="2" customFormat="1" ht="90" x14ac:dyDescent="0.25">
      <c r="A65" s="8" t="s">
        <v>153</v>
      </c>
      <c r="B65" s="2" t="s">
        <v>11</v>
      </c>
      <c r="C65" s="2" t="s">
        <v>165</v>
      </c>
      <c r="D65" s="6" t="s">
        <v>177</v>
      </c>
      <c r="E65" s="6" t="s">
        <v>178</v>
      </c>
      <c r="F65" s="6" t="s">
        <v>179</v>
      </c>
      <c r="G65" s="2" t="s">
        <v>169</v>
      </c>
      <c r="H65" s="2" t="s">
        <v>156</v>
      </c>
      <c r="I65" s="2" t="s">
        <v>119</v>
      </c>
      <c r="J65" s="2" t="s">
        <v>180</v>
      </c>
      <c r="K65" s="2" t="s">
        <v>639</v>
      </c>
    </row>
    <row r="66" spans="1:11" s="2" customFormat="1" ht="60" x14ac:dyDescent="0.25">
      <c r="A66" s="8" t="s">
        <v>153</v>
      </c>
      <c r="B66" s="2" t="s">
        <v>11</v>
      </c>
      <c r="C66" s="2" t="s">
        <v>184</v>
      </c>
      <c r="D66" s="6" t="s">
        <v>186</v>
      </c>
      <c r="E66" s="6" t="s">
        <v>187</v>
      </c>
      <c r="F66" s="6" t="s">
        <v>188</v>
      </c>
      <c r="G66" s="2" t="s">
        <v>169</v>
      </c>
      <c r="H66" s="2" t="s">
        <v>156</v>
      </c>
      <c r="I66" s="2" t="s">
        <v>119</v>
      </c>
      <c r="J66" s="2" t="s">
        <v>180</v>
      </c>
      <c r="K66" s="2" t="s">
        <v>640</v>
      </c>
    </row>
    <row r="67" spans="1:11" s="2" customFormat="1" ht="75" x14ac:dyDescent="0.25">
      <c r="A67" s="8" t="s">
        <v>153</v>
      </c>
      <c r="B67" s="2" t="s">
        <v>11</v>
      </c>
      <c r="C67" s="2" t="s">
        <v>209</v>
      </c>
      <c r="D67" s="6" t="s">
        <v>214</v>
      </c>
      <c r="E67" s="6" t="s">
        <v>215</v>
      </c>
      <c r="F67" s="6" t="s">
        <v>93</v>
      </c>
      <c r="G67" s="2" t="s">
        <v>169</v>
      </c>
      <c r="H67" s="2" t="s">
        <v>156</v>
      </c>
      <c r="I67" s="2" t="s">
        <v>119</v>
      </c>
      <c r="J67" s="2">
        <v>0.1</v>
      </c>
      <c r="K67" s="2" t="s">
        <v>640</v>
      </c>
    </row>
    <row r="68" spans="1:11" s="2" customFormat="1" ht="75" x14ac:dyDescent="0.25">
      <c r="A68" s="8" t="s">
        <v>153</v>
      </c>
      <c r="B68" s="2" t="s">
        <v>11</v>
      </c>
      <c r="C68" s="2" t="s">
        <v>227</v>
      </c>
      <c r="D68" s="6" t="s">
        <v>230</v>
      </c>
      <c r="E68" s="6" t="s">
        <v>63</v>
      </c>
      <c r="F68" s="6" t="s">
        <v>94</v>
      </c>
      <c r="G68" s="2" t="s">
        <v>169</v>
      </c>
      <c r="H68" s="2" t="s">
        <v>156</v>
      </c>
      <c r="I68" s="2" t="s">
        <v>120</v>
      </c>
      <c r="J68" s="2" t="s">
        <v>180</v>
      </c>
      <c r="K68" s="2" t="s">
        <v>639</v>
      </c>
    </row>
    <row r="69" spans="1:11" s="2" customFormat="1" ht="60" x14ac:dyDescent="0.25">
      <c r="A69" s="8" t="s">
        <v>153</v>
      </c>
      <c r="B69" s="2" t="s">
        <v>11</v>
      </c>
      <c r="C69" s="2" t="s">
        <v>21</v>
      </c>
      <c r="D69" s="6" t="s">
        <v>240</v>
      </c>
      <c r="E69" s="6" t="s">
        <v>241</v>
      </c>
      <c r="F69" s="6" t="s">
        <v>242</v>
      </c>
      <c r="G69" s="2" t="s">
        <v>197</v>
      </c>
      <c r="H69" s="2" t="s">
        <v>156</v>
      </c>
      <c r="I69" s="2" t="s">
        <v>119</v>
      </c>
      <c r="J69" s="2" t="s">
        <v>180</v>
      </c>
      <c r="K69" s="2" t="s">
        <v>639</v>
      </c>
    </row>
    <row r="70" spans="1:11" s="2" customFormat="1" ht="75" x14ac:dyDescent="0.25">
      <c r="A70" s="8" t="s">
        <v>153</v>
      </c>
      <c r="B70" s="2" t="s">
        <v>11</v>
      </c>
      <c r="C70" s="2" t="s">
        <v>23</v>
      </c>
      <c r="D70" s="6" t="s">
        <v>258</v>
      </c>
      <c r="E70" s="6" t="s">
        <v>259</v>
      </c>
      <c r="F70" s="6" t="s">
        <v>260</v>
      </c>
      <c r="G70" s="2" t="s">
        <v>169</v>
      </c>
      <c r="H70" s="2" t="s">
        <v>156</v>
      </c>
      <c r="I70" s="2" t="s">
        <v>256</v>
      </c>
      <c r="J70" s="2" t="s">
        <v>180</v>
      </c>
      <c r="K70" s="2" t="s">
        <v>639</v>
      </c>
    </row>
    <row r="71" spans="1:11" s="2" customFormat="1" ht="45" x14ac:dyDescent="0.25">
      <c r="A71" s="8" t="s">
        <v>153</v>
      </c>
      <c r="B71" s="2" t="s">
        <v>11</v>
      </c>
      <c r="C71" s="2" t="s">
        <v>24</v>
      </c>
      <c r="D71" s="6" t="s">
        <v>289</v>
      </c>
      <c r="E71" s="6" t="s">
        <v>290</v>
      </c>
      <c r="F71" s="6" t="s">
        <v>97</v>
      </c>
      <c r="G71" s="2" t="s">
        <v>169</v>
      </c>
      <c r="H71" s="2" t="s">
        <v>158</v>
      </c>
      <c r="I71" s="2" t="s">
        <v>119</v>
      </c>
      <c r="J71" s="2">
        <v>0.1</v>
      </c>
      <c r="K71" s="2" t="s">
        <v>639</v>
      </c>
    </row>
    <row r="72" spans="1:11" s="2" customFormat="1" ht="60" x14ac:dyDescent="0.25">
      <c r="A72" s="8" t="s">
        <v>153</v>
      </c>
      <c r="B72" s="2" t="s">
        <v>14</v>
      </c>
      <c r="C72" s="2" t="s">
        <v>315</v>
      </c>
      <c r="D72" s="6" t="s">
        <v>46</v>
      </c>
      <c r="E72" s="6" t="s">
        <v>322</v>
      </c>
      <c r="F72" s="6" t="s">
        <v>102</v>
      </c>
      <c r="G72" s="2" t="s">
        <v>169</v>
      </c>
      <c r="H72" s="2" t="s">
        <v>158</v>
      </c>
      <c r="I72" s="2" t="s">
        <v>119</v>
      </c>
      <c r="J72" s="2">
        <v>0.1</v>
      </c>
      <c r="K72" s="2" t="s">
        <v>640</v>
      </c>
    </row>
    <row r="73" spans="1:11" s="2" customFormat="1" ht="75" x14ac:dyDescent="0.25">
      <c r="A73" s="8" t="s">
        <v>153</v>
      </c>
      <c r="B73" s="2" t="s">
        <v>14</v>
      </c>
      <c r="C73" s="2" t="s">
        <v>353</v>
      </c>
      <c r="D73" s="6" t="s">
        <v>366</v>
      </c>
      <c r="E73" s="6" t="s">
        <v>72</v>
      </c>
      <c r="F73" s="6" t="s">
        <v>105</v>
      </c>
      <c r="G73" s="2" t="s">
        <v>169</v>
      </c>
      <c r="H73" s="2" t="s">
        <v>156</v>
      </c>
      <c r="I73" s="2" t="s">
        <v>119</v>
      </c>
      <c r="J73" s="2" t="s">
        <v>180</v>
      </c>
      <c r="K73" s="2" t="s">
        <v>640</v>
      </c>
    </row>
    <row r="74" spans="1:11" s="2" customFormat="1" ht="60" x14ac:dyDescent="0.25">
      <c r="A74" s="8" t="s">
        <v>153</v>
      </c>
      <c r="B74" s="2" t="s">
        <v>15</v>
      </c>
      <c r="C74" s="2" t="s">
        <v>450</v>
      </c>
      <c r="D74" s="6" t="s">
        <v>451</v>
      </c>
      <c r="E74" s="6" t="s">
        <v>452</v>
      </c>
      <c r="F74" s="6" t="s">
        <v>453</v>
      </c>
      <c r="G74" s="2" t="s">
        <v>197</v>
      </c>
      <c r="H74" s="2" t="s">
        <v>156</v>
      </c>
      <c r="I74" s="19">
        <v>1</v>
      </c>
      <c r="J74" s="2" t="s">
        <v>180</v>
      </c>
      <c r="K74" s="2" t="s">
        <v>640</v>
      </c>
    </row>
    <row r="75" spans="1:11" s="2" customFormat="1" ht="60" x14ac:dyDescent="0.25">
      <c r="A75" s="8" t="s">
        <v>153</v>
      </c>
      <c r="B75" s="2" t="s">
        <v>15</v>
      </c>
      <c r="C75" s="2" t="s">
        <v>467</v>
      </c>
      <c r="D75" s="6" t="s">
        <v>483</v>
      </c>
      <c r="E75" s="6" t="s">
        <v>484</v>
      </c>
      <c r="F75" s="6" t="s">
        <v>485</v>
      </c>
      <c r="G75" s="2" t="s">
        <v>169</v>
      </c>
      <c r="H75" s="2" t="s">
        <v>156</v>
      </c>
      <c r="I75" s="2" t="s">
        <v>119</v>
      </c>
      <c r="J75" s="2" t="s">
        <v>180</v>
      </c>
      <c r="K75" s="2" t="s">
        <v>640</v>
      </c>
    </row>
    <row r="76" spans="1:11" s="2" customFormat="1" ht="75" x14ac:dyDescent="0.25">
      <c r="A76" s="8" t="s">
        <v>153</v>
      </c>
      <c r="B76" s="2" t="s">
        <v>15</v>
      </c>
      <c r="C76" s="2" t="s">
        <v>33</v>
      </c>
      <c r="D76" s="6" t="s">
        <v>555</v>
      </c>
      <c r="E76" s="6" t="s">
        <v>556</v>
      </c>
      <c r="F76" s="6" t="s">
        <v>114</v>
      </c>
      <c r="G76" s="2" t="s">
        <v>169</v>
      </c>
      <c r="H76" s="2" t="s">
        <v>156</v>
      </c>
      <c r="I76" s="2" t="s">
        <v>119</v>
      </c>
      <c r="J76" s="2" t="s">
        <v>180</v>
      </c>
      <c r="K76" s="2" t="s">
        <v>639</v>
      </c>
    </row>
    <row r="77" spans="1:11" s="2" customFormat="1" ht="45" x14ac:dyDescent="0.25">
      <c r="A77" s="8" t="s">
        <v>153</v>
      </c>
      <c r="B77" s="2" t="s">
        <v>9</v>
      </c>
      <c r="C77" s="2" t="s">
        <v>16</v>
      </c>
      <c r="D77" s="6" t="s">
        <v>621</v>
      </c>
      <c r="E77" s="6" t="s">
        <v>622</v>
      </c>
      <c r="F77" s="6" t="s">
        <v>87</v>
      </c>
      <c r="G77" s="2" t="s">
        <v>197</v>
      </c>
      <c r="H77" s="2" t="s">
        <v>158</v>
      </c>
      <c r="I77" s="2" t="s">
        <v>122</v>
      </c>
      <c r="J77" s="2">
        <v>0.1</v>
      </c>
      <c r="K77" s="2" t="s">
        <v>639</v>
      </c>
    </row>
    <row r="78" spans="1:11" s="2" customFormat="1" ht="45" x14ac:dyDescent="0.25">
      <c r="A78" s="8" t="s">
        <v>154</v>
      </c>
      <c r="B78" s="2" t="s">
        <v>12</v>
      </c>
      <c r="C78" s="2" t="s">
        <v>301</v>
      </c>
      <c r="D78" s="6" t="s">
        <v>309</v>
      </c>
      <c r="E78" s="6" t="s">
        <v>310</v>
      </c>
      <c r="F78" s="6" t="s">
        <v>311</v>
      </c>
      <c r="G78" s="2" t="s">
        <v>197</v>
      </c>
      <c r="H78" s="2" t="s">
        <v>156</v>
      </c>
      <c r="I78" s="2" t="s">
        <v>119</v>
      </c>
      <c r="J78" s="2" t="s">
        <v>180</v>
      </c>
      <c r="K78" s="2" t="s">
        <v>639</v>
      </c>
    </row>
    <row r="79" spans="1:11" s="2" customFormat="1" ht="90" x14ac:dyDescent="0.25">
      <c r="A79" s="8" t="s">
        <v>154</v>
      </c>
      <c r="B79" s="2" t="s">
        <v>14</v>
      </c>
      <c r="C79" s="2" t="s">
        <v>353</v>
      </c>
      <c r="D79" s="6" t="s">
        <v>367</v>
      </c>
      <c r="E79" s="6" t="s">
        <v>368</v>
      </c>
      <c r="F79" s="6" t="s">
        <v>369</v>
      </c>
      <c r="G79" s="2" t="s">
        <v>197</v>
      </c>
      <c r="H79" s="2" t="s">
        <v>158</v>
      </c>
      <c r="I79" s="2" t="s">
        <v>119</v>
      </c>
      <c r="J79" s="2" t="s">
        <v>180</v>
      </c>
      <c r="K79" s="2" t="s">
        <v>640</v>
      </c>
    </row>
    <row r="80" spans="1:11" s="2" customFormat="1" ht="60" x14ac:dyDescent="0.25">
      <c r="A80" s="8" t="s">
        <v>154</v>
      </c>
      <c r="B80" s="2" t="s">
        <v>15</v>
      </c>
      <c r="C80" s="2" t="s">
        <v>33</v>
      </c>
      <c r="D80" s="6" t="s">
        <v>54</v>
      </c>
      <c r="E80" s="6" t="s">
        <v>557</v>
      </c>
      <c r="F80" s="6" t="s">
        <v>558</v>
      </c>
      <c r="G80" s="2" t="s">
        <v>197</v>
      </c>
      <c r="H80" s="2" t="s">
        <v>158</v>
      </c>
      <c r="I80" s="2" t="s">
        <v>119</v>
      </c>
      <c r="J80" s="2" t="s">
        <v>180</v>
      </c>
      <c r="K80" s="2" t="s">
        <v>639</v>
      </c>
    </row>
    <row r="81" spans="1:11" s="2" customFormat="1" ht="90" x14ac:dyDescent="0.25">
      <c r="A81" s="8" t="s">
        <v>154</v>
      </c>
      <c r="B81" s="2" t="s">
        <v>15</v>
      </c>
      <c r="C81" s="2" t="s">
        <v>559</v>
      </c>
      <c r="D81" s="6" t="s">
        <v>55</v>
      </c>
      <c r="E81" s="6" t="s">
        <v>83</v>
      </c>
      <c r="F81" s="6" t="s">
        <v>115</v>
      </c>
      <c r="G81" s="2" t="s">
        <v>197</v>
      </c>
      <c r="H81" s="2" t="s">
        <v>158</v>
      </c>
      <c r="I81" s="2" t="s">
        <v>119</v>
      </c>
      <c r="J81" s="2" t="s">
        <v>180</v>
      </c>
      <c r="K81" s="2" t="s">
        <v>640</v>
      </c>
    </row>
    <row r="82" spans="1:11" s="2" customFormat="1" ht="45" x14ac:dyDescent="0.25">
      <c r="A82" s="8" t="s">
        <v>154</v>
      </c>
      <c r="B82" s="2" t="s">
        <v>9</v>
      </c>
      <c r="C82" s="2" t="s">
        <v>16</v>
      </c>
      <c r="D82" s="6" t="s">
        <v>621</v>
      </c>
      <c r="E82" s="6" t="s">
        <v>622</v>
      </c>
      <c r="F82" s="6" t="s">
        <v>87</v>
      </c>
      <c r="G82" s="2" t="s">
        <v>197</v>
      </c>
      <c r="H82" s="2" t="s">
        <v>158</v>
      </c>
      <c r="I82" s="2" t="s">
        <v>122</v>
      </c>
      <c r="J82" s="2">
        <v>0.1</v>
      </c>
      <c r="K82" s="2" t="s">
        <v>639</v>
      </c>
    </row>
    <row r="83" spans="1:11" s="2" customFormat="1" ht="90" x14ac:dyDescent="0.25">
      <c r="A83" s="8" t="s">
        <v>302</v>
      </c>
      <c r="B83" s="2" t="s">
        <v>12</v>
      </c>
      <c r="C83" s="2" t="s">
        <v>301</v>
      </c>
      <c r="D83" s="6" t="s">
        <v>303</v>
      </c>
      <c r="E83" s="6" t="s">
        <v>68</v>
      </c>
      <c r="F83" s="6" t="s">
        <v>304</v>
      </c>
      <c r="G83" s="2" t="s">
        <v>169</v>
      </c>
      <c r="H83" s="2" t="s">
        <v>156</v>
      </c>
      <c r="I83" s="2" t="s">
        <v>122</v>
      </c>
      <c r="J83" s="2" t="s">
        <v>180</v>
      </c>
      <c r="K83" s="2" t="s">
        <v>639</v>
      </c>
    </row>
    <row r="84" spans="1:11" s="2" customFormat="1" ht="45" x14ac:dyDescent="0.25">
      <c r="A84" s="8" t="s">
        <v>308</v>
      </c>
      <c r="B84" s="2" t="s">
        <v>12</v>
      </c>
      <c r="C84" s="2" t="s">
        <v>301</v>
      </c>
      <c r="D84" s="6" t="s">
        <v>644</v>
      </c>
      <c r="E84" s="6"/>
      <c r="F84" s="6"/>
      <c r="K84" s="2" t="s">
        <v>639</v>
      </c>
    </row>
    <row r="85" spans="1:11" s="2" customFormat="1" ht="31.5" x14ac:dyDescent="0.25">
      <c r="A85" s="8" t="s">
        <v>308</v>
      </c>
      <c r="B85" s="2" t="s">
        <v>15</v>
      </c>
      <c r="C85" s="2" t="s">
        <v>514</v>
      </c>
      <c r="D85" s="6" t="s">
        <v>644</v>
      </c>
      <c r="E85" s="6"/>
      <c r="F85" s="6"/>
      <c r="K85" s="2" t="s">
        <v>639</v>
      </c>
    </row>
    <row r="86" spans="1:11" s="2" customFormat="1" ht="31.5" x14ac:dyDescent="0.25">
      <c r="A86" s="8" t="s">
        <v>308</v>
      </c>
      <c r="B86" s="2" t="s">
        <v>15</v>
      </c>
      <c r="C86" s="2" t="s">
        <v>30</v>
      </c>
      <c r="D86" s="6" t="s">
        <v>644</v>
      </c>
      <c r="E86" s="6"/>
      <c r="F86" s="6"/>
      <c r="K86" s="2" t="s">
        <v>640</v>
      </c>
    </row>
    <row r="87" spans="1:11" s="2" customFormat="1" ht="60" x14ac:dyDescent="0.25">
      <c r="A87" s="8" t="s">
        <v>143</v>
      </c>
      <c r="B87" s="2" t="s">
        <v>9</v>
      </c>
      <c r="C87" s="2" t="s">
        <v>162</v>
      </c>
      <c r="D87" s="6" t="s">
        <v>163</v>
      </c>
      <c r="E87" s="6" t="s">
        <v>59</v>
      </c>
      <c r="F87" s="6" t="s">
        <v>88</v>
      </c>
      <c r="G87" s="2" t="s">
        <v>164</v>
      </c>
      <c r="H87" s="2" t="s">
        <v>156</v>
      </c>
      <c r="I87" s="2" t="s">
        <v>119</v>
      </c>
      <c r="J87" s="2">
        <v>0.1</v>
      </c>
      <c r="K87" s="2" t="s">
        <v>640</v>
      </c>
    </row>
    <row r="88" spans="1:11" s="2" customFormat="1" ht="60" x14ac:dyDescent="0.25">
      <c r="A88" s="8" t="s">
        <v>143</v>
      </c>
      <c r="B88" s="2" t="s">
        <v>11</v>
      </c>
      <c r="C88" s="2" t="s">
        <v>184</v>
      </c>
      <c r="D88" s="6" t="s">
        <v>193</v>
      </c>
      <c r="E88" s="6" t="s">
        <v>196</v>
      </c>
      <c r="F88" s="6" t="s">
        <v>195</v>
      </c>
      <c r="G88" s="2" t="s">
        <v>169</v>
      </c>
      <c r="H88" s="2" t="s">
        <v>156</v>
      </c>
      <c r="I88" s="2" t="s">
        <v>119</v>
      </c>
      <c r="J88" s="2" t="s">
        <v>180</v>
      </c>
      <c r="K88" s="2" t="s">
        <v>640</v>
      </c>
    </row>
    <row r="89" spans="1:11" s="2" customFormat="1" ht="75" x14ac:dyDescent="0.25">
      <c r="A89" s="8" t="s">
        <v>143</v>
      </c>
      <c r="B89" s="2" t="s">
        <v>11</v>
      </c>
      <c r="C89" s="2" t="s">
        <v>20</v>
      </c>
      <c r="D89" s="6" t="s">
        <v>236</v>
      </c>
      <c r="E89" s="6" t="s">
        <v>237</v>
      </c>
      <c r="F89" s="6" t="s">
        <v>238</v>
      </c>
      <c r="G89" s="2" t="s">
        <v>169</v>
      </c>
      <c r="H89" s="2" t="s">
        <v>156</v>
      </c>
      <c r="I89" s="2" t="s">
        <v>239</v>
      </c>
      <c r="J89" s="2" t="s">
        <v>180</v>
      </c>
      <c r="K89" s="2" t="s">
        <v>640</v>
      </c>
    </row>
    <row r="90" spans="1:11" s="2" customFormat="1" ht="60" x14ac:dyDescent="0.25">
      <c r="A90" s="8" t="s">
        <v>143</v>
      </c>
      <c r="B90" s="2" t="s">
        <v>11</v>
      </c>
      <c r="C90" s="2" t="s">
        <v>21</v>
      </c>
      <c r="D90" s="6" t="s">
        <v>245</v>
      </c>
      <c r="E90" s="6" t="s">
        <v>246</v>
      </c>
      <c r="F90" s="6" t="s">
        <v>242</v>
      </c>
      <c r="G90" s="2" t="s">
        <v>197</v>
      </c>
      <c r="H90" s="2" t="s">
        <v>156</v>
      </c>
      <c r="I90" s="2" t="s">
        <v>119</v>
      </c>
      <c r="J90" s="2" t="s">
        <v>180</v>
      </c>
      <c r="K90" s="2" t="s">
        <v>639</v>
      </c>
    </row>
    <row r="91" spans="1:11" s="2" customFormat="1" ht="60" x14ac:dyDescent="0.25">
      <c r="A91" s="8" t="s">
        <v>143</v>
      </c>
      <c r="B91" s="2" t="s">
        <v>11</v>
      </c>
      <c r="C91" s="2" t="s">
        <v>261</v>
      </c>
      <c r="D91" s="6" t="s">
        <v>262</v>
      </c>
      <c r="E91" s="6" t="s">
        <v>64</v>
      </c>
      <c r="F91" s="6" t="s">
        <v>95</v>
      </c>
      <c r="G91" s="2" t="s">
        <v>169</v>
      </c>
      <c r="H91" s="2" t="s">
        <v>158</v>
      </c>
      <c r="I91" s="2" t="s">
        <v>256</v>
      </c>
      <c r="J91" s="2">
        <v>0.1</v>
      </c>
      <c r="K91" s="2" t="s">
        <v>639</v>
      </c>
    </row>
    <row r="92" spans="1:11" s="2" customFormat="1" ht="45" x14ac:dyDescent="0.25">
      <c r="A92" s="8" t="s">
        <v>143</v>
      </c>
      <c r="B92" s="2" t="s">
        <v>11</v>
      </c>
      <c r="C92" s="2" t="s">
        <v>273</v>
      </c>
      <c r="D92" s="6" t="s">
        <v>274</v>
      </c>
      <c r="E92" s="6" t="s">
        <v>275</v>
      </c>
      <c r="F92" s="6" t="s">
        <v>276</v>
      </c>
      <c r="G92" s="2" t="s">
        <v>169</v>
      </c>
      <c r="H92" s="2" t="s">
        <v>158</v>
      </c>
      <c r="I92" s="2" t="s">
        <v>119</v>
      </c>
      <c r="J92" s="2">
        <v>0.1</v>
      </c>
      <c r="K92" s="2" t="s">
        <v>639</v>
      </c>
    </row>
    <row r="93" spans="1:11" s="2" customFormat="1" ht="60" x14ac:dyDescent="0.25">
      <c r="A93" s="8" t="s">
        <v>143</v>
      </c>
      <c r="B93" s="2" t="s">
        <v>14</v>
      </c>
      <c r="C93" s="2" t="s">
        <v>315</v>
      </c>
      <c r="D93" s="6" t="s">
        <v>323</v>
      </c>
      <c r="E93" s="6" t="s">
        <v>324</v>
      </c>
      <c r="F93" s="6" t="s">
        <v>325</v>
      </c>
      <c r="G93" s="2" t="s">
        <v>169</v>
      </c>
      <c r="H93" s="2" t="s">
        <v>202</v>
      </c>
      <c r="I93" s="2" t="s">
        <v>119</v>
      </c>
      <c r="J93" s="2">
        <v>0.1</v>
      </c>
      <c r="K93" s="2" t="s">
        <v>640</v>
      </c>
    </row>
    <row r="94" spans="1:11" s="2" customFormat="1" ht="60" x14ac:dyDescent="0.25">
      <c r="A94" s="8" t="s">
        <v>143</v>
      </c>
      <c r="B94" s="2" t="s">
        <v>14</v>
      </c>
      <c r="C94" s="2" t="s">
        <v>353</v>
      </c>
      <c r="D94" s="6" t="s">
        <v>370</v>
      </c>
      <c r="E94" s="6" t="s">
        <v>371</v>
      </c>
      <c r="F94" s="6" t="s">
        <v>372</v>
      </c>
      <c r="G94" s="2" t="s">
        <v>169</v>
      </c>
      <c r="H94" s="2" t="s">
        <v>158</v>
      </c>
      <c r="I94" s="2" t="s">
        <v>119</v>
      </c>
      <c r="J94" s="2">
        <v>0.1</v>
      </c>
      <c r="K94" s="2" t="s">
        <v>640</v>
      </c>
    </row>
    <row r="95" spans="1:11" s="2" customFormat="1" ht="60" x14ac:dyDescent="0.25">
      <c r="A95" s="8" t="s">
        <v>143</v>
      </c>
      <c r="B95" s="2" t="s">
        <v>15</v>
      </c>
      <c r="C95" s="2" t="s">
        <v>26</v>
      </c>
      <c r="D95" s="6" t="s">
        <v>404</v>
      </c>
      <c r="E95" s="6" t="s">
        <v>405</v>
      </c>
      <c r="F95" s="6" t="s">
        <v>406</v>
      </c>
      <c r="G95" s="2" t="s">
        <v>169</v>
      </c>
      <c r="H95" s="2" t="s">
        <v>156</v>
      </c>
      <c r="I95" s="2" t="s">
        <v>403</v>
      </c>
      <c r="J95" s="2" t="s">
        <v>180</v>
      </c>
      <c r="K95" s="2" t="s">
        <v>640</v>
      </c>
    </row>
    <row r="96" spans="1:11" s="2" customFormat="1" ht="60" x14ac:dyDescent="0.25">
      <c r="A96" s="8" t="s">
        <v>143</v>
      </c>
      <c r="B96" s="2" t="s">
        <v>15</v>
      </c>
      <c r="C96" s="2" t="s">
        <v>450</v>
      </c>
      <c r="D96" s="6" t="s">
        <v>451</v>
      </c>
      <c r="E96" s="6" t="s">
        <v>452</v>
      </c>
      <c r="F96" s="6" t="s">
        <v>453</v>
      </c>
      <c r="G96" s="2" t="s">
        <v>197</v>
      </c>
      <c r="H96" s="2" t="s">
        <v>156</v>
      </c>
      <c r="I96" s="19">
        <v>1</v>
      </c>
      <c r="J96" s="2" t="s">
        <v>180</v>
      </c>
      <c r="K96" s="2" t="s">
        <v>640</v>
      </c>
    </row>
    <row r="97" spans="1:11" s="2" customFormat="1" ht="60" x14ac:dyDescent="0.25">
      <c r="A97" s="8" t="s">
        <v>143</v>
      </c>
      <c r="B97" s="2" t="s">
        <v>15</v>
      </c>
      <c r="C97" s="2" t="s">
        <v>32</v>
      </c>
      <c r="D97" s="6" t="s">
        <v>532</v>
      </c>
      <c r="E97" s="6" t="s">
        <v>533</v>
      </c>
      <c r="F97" s="6" t="s">
        <v>534</v>
      </c>
      <c r="G97" s="2" t="s">
        <v>169</v>
      </c>
      <c r="H97" s="2" t="s">
        <v>156</v>
      </c>
      <c r="I97" s="2" t="s">
        <v>119</v>
      </c>
      <c r="J97" s="2" t="s">
        <v>180</v>
      </c>
      <c r="K97" s="2" t="s">
        <v>639</v>
      </c>
    </row>
    <row r="98" spans="1:11" s="2" customFormat="1" ht="60" x14ac:dyDescent="0.25">
      <c r="A98" s="8" t="s">
        <v>143</v>
      </c>
      <c r="B98" s="2" t="s">
        <v>15</v>
      </c>
      <c r="C98" s="2" t="s">
        <v>559</v>
      </c>
      <c r="D98" s="6" t="s">
        <v>563</v>
      </c>
      <c r="E98" s="6" t="s">
        <v>564</v>
      </c>
      <c r="F98" s="6" t="s">
        <v>565</v>
      </c>
      <c r="G98" s="2" t="s">
        <v>197</v>
      </c>
      <c r="H98" s="2" t="s">
        <v>158</v>
      </c>
      <c r="I98" s="2" t="s">
        <v>119</v>
      </c>
      <c r="J98" s="2" t="s">
        <v>180</v>
      </c>
      <c r="K98" s="2" t="s">
        <v>640</v>
      </c>
    </row>
    <row r="99" spans="1:11" s="2" customFormat="1" ht="90" x14ac:dyDescent="0.25">
      <c r="A99" s="8" t="s">
        <v>143</v>
      </c>
      <c r="B99" s="2" t="s">
        <v>15</v>
      </c>
      <c r="C99" s="2" t="s">
        <v>34</v>
      </c>
      <c r="D99" s="6" t="s">
        <v>586</v>
      </c>
      <c r="E99" s="6" t="s">
        <v>587</v>
      </c>
      <c r="F99" s="6" t="s">
        <v>588</v>
      </c>
      <c r="G99" s="2" t="s">
        <v>169</v>
      </c>
      <c r="H99" s="2" t="s">
        <v>158</v>
      </c>
      <c r="I99" s="2" t="s">
        <v>124</v>
      </c>
      <c r="J99" s="2">
        <v>0.05</v>
      </c>
      <c r="K99" s="2" t="s">
        <v>640</v>
      </c>
    </row>
    <row r="100" spans="1:11" s="2" customFormat="1" ht="45" x14ac:dyDescent="0.25">
      <c r="A100" s="8" t="s">
        <v>143</v>
      </c>
      <c r="B100" s="2" t="s">
        <v>9</v>
      </c>
      <c r="C100" s="2" t="s">
        <v>16</v>
      </c>
      <c r="D100" s="6" t="s">
        <v>621</v>
      </c>
      <c r="E100" s="6" t="s">
        <v>622</v>
      </c>
      <c r="F100" s="6" t="s">
        <v>87</v>
      </c>
      <c r="G100" s="2" t="s">
        <v>197</v>
      </c>
      <c r="H100" s="2" t="s">
        <v>156</v>
      </c>
      <c r="I100" s="2" t="s">
        <v>122</v>
      </c>
      <c r="J100" s="2" t="s">
        <v>157</v>
      </c>
      <c r="K100" s="2" t="s">
        <v>639</v>
      </c>
    </row>
    <row r="101" spans="1:11" s="2" customFormat="1" ht="60" x14ac:dyDescent="0.25">
      <c r="A101" s="8" t="s">
        <v>144</v>
      </c>
      <c r="B101" s="2" t="s">
        <v>9</v>
      </c>
      <c r="C101" s="2" t="s">
        <v>162</v>
      </c>
      <c r="D101" s="6" t="s">
        <v>163</v>
      </c>
      <c r="E101" s="6" t="s">
        <v>59</v>
      </c>
      <c r="F101" s="6" t="s">
        <v>88</v>
      </c>
      <c r="G101" s="2" t="s">
        <v>164</v>
      </c>
      <c r="H101" s="2" t="s">
        <v>156</v>
      </c>
      <c r="I101" s="2" t="s">
        <v>119</v>
      </c>
      <c r="J101" s="2">
        <v>0.1</v>
      </c>
      <c r="K101" s="2" t="s">
        <v>640</v>
      </c>
    </row>
    <row r="102" spans="1:11" s="2" customFormat="1" ht="60" x14ac:dyDescent="0.25">
      <c r="A102" s="8" t="s">
        <v>144</v>
      </c>
      <c r="B102" s="2" t="s">
        <v>11</v>
      </c>
      <c r="C102" s="2" t="s">
        <v>184</v>
      </c>
      <c r="D102" s="6" t="s">
        <v>193</v>
      </c>
      <c r="E102" s="6" t="s">
        <v>196</v>
      </c>
      <c r="F102" s="6" t="s">
        <v>195</v>
      </c>
      <c r="G102" s="2" t="s">
        <v>169</v>
      </c>
      <c r="H102" s="2" t="s">
        <v>156</v>
      </c>
      <c r="I102" s="2" t="s">
        <v>119</v>
      </c>
      <c r="J102" s="2" t="s">
        <v>180</v>
      </c>
      <c r="K102" s="2" t="s">
        <v>640</v>
      </c>
    </row>
    <row r="103" spans="1:11" s="2" customFormat="1" ht="75" x14ac:dyDescent="0.25">
      <c r="A103" s="8" t="s">
        <v>144</v>
      </c>
      <c r="B103" s="2" t="s">
        <v>11</v>
      </c>
      <c r="C103" s="2" t="s">
        <v>20</v>
      </c>
      <c r="D103" s="6" t="s">
        <v>236</v>
      </c>
      <c r="E103" s="6" t="s">
        <v>237</v>
      </c>
      <c r="F103" s="6" t="s">
        <v>238</v>
      </c>
      <c r="G103" s="2" t="s">
        <v>169</v>
      </c>
      <c r="H103" s="2" t="s">
        <v>156</v>
      </c>
      <c r="I103" s="2" t="s">
        <v>239</v>
      </c>
      <c r="J103" s="2" t="s">
        <v>180</v>
      </c>
      <c r="K103" s="2" t="s">
        <v>640</v>
      </c>
    </row>
    <row r="104" spans="1:11" s="2" customFormat="1" ht="60" x14ac:dyDescent="0.25">
      <c r="A104" s="8" t="s">
        <v>144</v>
      </c>
      <c r="B104" s="2" t="s">
        <v>11</v>
      </c>
      <c r="C104" s="2" t="s">
        <v>21</v>
      </c>
      <c r="D104" s="6" t="s">
        <v>245</v>
      </c>
      <c r="E104" s="6" t="s">
        <v>246</v>
      </c>
      <c r="F104" s="6" t="s">
        <v>242</v>
      </c>
      <c r="G104" s="2" t="s">
        <v>197</v>
      </c>
      <c r="H104" s="2" t="s">
        <v>156</v>
      </c>
      <c r="I104" s="2" t="s">
        <v>119</v>
      </c>
      <c r="J104" s="2" t="s">
        <v>180</v>
      </c>
      <c r="K104" s="2" t="s">
        <v>639</v>
      </c>
    </row>
    <row r="105" spans="1:11" s="2" customFormat="1" ht="60" x14ac:dyDescent="0.25">
      <c r="A105" s="8" t="s">
        <v>144</v>
      </c>
      <c r="B105" s="2" t="s">
        <v>11</v>
      </c>
      <c r="C105" s="2" t="s">
        <v>261</v>
      </c>
      <c r="D105" s="6" t="s">
        <v>262</v>
      </c>
      <c r="E105" s="6" t="s">
        <v>64</v>
      </c>
      <c r="F105" s="6" t="s">
        <v>95</v>
      </c>
      <c r="G105" s="2" t="s">
        <v>169</v>
      </c>
      <c r="H105" s="2" t="s">
        <v>158</v>
      </c>
      <c r="I105" s="2" t="s">
        <v>256</v>
      </c>
      <c r="J105" s="2">
        <v>0.1</v>
      </c>
      <c r="K105" s="2" t="s">
        <v>639</v>
      </c>
    </row>
    <row r="106" spans="1:11" s="2" customFormat="1" ht="45" x14ac:dyDescent="0.25">
      <c r="A106" s="8" t="s">
        <v>144</v>
      </c>
      <c r="B106" s="2" t="s">
        <v>11</v>
      </c>
      <c r="C106" s="2" t="s">
        <v>273</v>
      </c>
      <c r="D106" s="6" t="s">
        <v>274</v>
      </c>
      <c r="E106" s="6" t="s">
        <v>275</v>
      </c>
      <c r="F106" s="6" t="s">
        <v>276</v>
      </c>
      <c r="G106" s="2" t="s">
        <v>169</v>
      </c>
      <c r="H106" s="2" t="s">
        <v>158</v>
      </c>
      <c r="I106" s="2" t="s">
        <v>119</v>
      </c>
      <c r="J106" s="2">
        <v>0.1</v>
      </c>
      <c r="K106" s="2" t="s">
        <v>639</v>
      </c>
    </row>
    <row r="107" spans="1:11" s="2" customFormat="1" ht="60" x14ac:dyDescent="0.25">
      <c r="A107" s="8" t="s">
        <v>144</v>
      </c>
      <c r="B107" s="2" t="s">
        <v>14</v>
      </c>
      <c r="C107" s="2" t="s">
        <v>315</v>
      </c>
      <c r="D107" s="6" t="s">
        <v>326</v>
      </c>
      <c r="E107" s="6" t="s">
        <v>327</v>
      </c>
      <c r="F107" s="6" t="s">
        <v>328</v>
      </c>
      <c r="G107" s="2" t="s">
        <v>169</v>
      </c>
      <c r="H107" s="2" t="s">
        <v>202</v>
      </c>
      <c r="I107" s="2" t="s">
        <v>119</v>
      </c>
      <c r="J107" s="2">
        <v>0.1</v>
      </c>
      <c r="K107" s="2" t="s">
        <v>640</v>
      </c>
    </row>
    <row r="108" spans="1:11" s="2" customFormat="1" ht="60" x14ac:dyDescent="0.25">
      <c r="A108" s="8" t="s">
        <v>144</v>
      </c>
      <c r="B108" s="2" t="s">
        <v>14</v>
      </c>
      <c r="C108" s="2" t="s">
        <v>353</v>
      </c>
      <c r="D108" s="6" t="s">
        <v>373</v>
      </c>
      <c r="E108" s="6" t="s">
        <v>374</v>
      </c>
      <c r="F108" s="6" t="s">
        <v>375</v>
      </c>
      <c r="G108" s="2" t="s">
        <v>169</v>
      </c>
      <c r="H108" s="2" t="s">
        <v>158</v>
      </c>
      <c r="I108" s="2" t="s">
        <v>119</v>
      </c>
      <c r="J108" s="2">
        <v>0.1</v>
      </c>
      <c r="K108" s="2" t="s">
        <v>640</v>
      </c>
    </row>
    <row r="109" spans="1:11" s="2" customFormat="1" ht="60" x14ac:dyDescent="0.25">
      <c r="A109" s="8" t="s">
        <v>144</v>
      </c>
      <c r="B109" s="2" t="s">
        <v>15</v>
      </c>
      <c r="C109" s="2" t="s">
        <v>26</v>
      </c>
      <c r="D109" s="6" t="s">
        <v>407</v>
      </c>
      <c r="E109" s="6" t="s">
        <v>408</v>
      </c>
      <c r="F109" s="6" t="s">
        <v>409</v>
      </c>
      <c r="G109" s="2" t="s">
        <v>169</v>
      </c>
      <c r="H109" s="2" t="s">
        <v>156</v>
      </c>
      <c r="I109" s="2" t="s">
        <v>403</v>
      </c>
      <c r="J109" s="2" t="s">
        <v>180</v>
      </c>
      <c r="K109" s="2" t="s">
        <v>640</v>
      </c>
    </row>
    <row r="110" spans="1:11" s="2" customFormat="1" ht="60" x14ac:dyDescent="0.25">
      <c r="A110" s="8" t="s">
        <v>144</v>
      </c>
      <c r="B110" s="2" t="s">
        <v>15</v>
      </c>
      <c r="C110" s="2" t="s">
        <v>450</v>
      </c>
      <c r="D110" s="6" t="s">
        <v>451</v>
      </c>
      <c r="E110" s="6" t="s">
        <v>452</v>
      </c>
      <c r="F110" s="6" t="s">
        <v>453</v>
      </c>
      <c r="G110" s="2" t="s">
        <v>197</v>
      </c>
      <c r="H110" s="2" t="s">
        <v>156</v>
      </c>
      <c r="I110" s="19">
        <v>1</v>
      </c>
      <c r="J110" s="2" t="s">
        <v>180</v>
      </c>
      <c r="K110" s="2" t="s">
        <v>640</v>
      </c>
    </row>
    <row r="111" spans="1:11" s="2" customFormat="1" ht="60" x14ac:dyDescent="0.25">
      <c r="A111" s="8" t="s">
        <v>144</v>
      </c>
      <c r="B111" s="2" t="s">
        <v>15</v>
      </c>
      <c r="C111" s="2" t="s">
        <v>32</v>
      </c>
      <c r="D111" s="6" t="s">
        <v>532</v>
      </c>
      <c r="E111" s="6" t="s">
        <v>535</v>
      </c>
      <c r="F111" s="6" t="s">
        <v>534</v>
      </c>
      <c r="G111" s="2" t="s">
        <v>169</v>
      </c>
      <c r="H111" s="2" t="s">
        <v>156</v>
      </c>
      <c r="I111" s="2" t="s">
        <v>119</v>
      </c>
      <c r="J111" s="2" t="s">
        <v>180</v>
      </c>
      <c r="K111" s="2" t="s">
        <v>639</v>
      </c>
    </row>
    <row r="112" spans="1:11" s="2" customFormat="1" ht="60" x14ac:dyDescent="0.25">
      <c r="A112" s="8" t="s">
        <v>144</v>
      </c>
      <c r="B112" s="2" t="s">
        <v>15</v>
      </c>
      <c r="C112" s="2" t="s">
        <v>559</v>
      </c>
      <c r="D112" s="6" t="s">
        <v>566</v>
      </c>
      <c r="E112" s="6" t="s">
        <v>567</v>
      </c>
      <c r="F112" s="6" t="s">
        <v>568</v>
      </c>
      <c r="G112" s="2" t="s">
        <v>197</v>
      </c>
      <c r="H112" s="2" t="s">
        <v>158</v>
      </c>
      <c r="I112" s="2" t="s">
        <v>119</v>
      </c>
      <c r="J112" s="2" t="s">
        <v>180</v>
      </c>
      <c r="K112" s="2" t="s">
        <v>640</v>
      </c>
    </row>
    <row r="113" spans="1:11" s="2" customFormat="1" ht="90" x14ac:dyDescent="0.25">
      <c r="A113" s="8" t="s">
        <v>144</v>
      </c>
      <c r="B113" s="2" t="s">
        <v>15</v>
      </c>
      <c r="C113" s="2" t="s">
        <v>34</v>
      </c>
      <c r="D113" s="6" t="s">
        <v>589</v>
      </c>
      <c r="E113" s="6" t="s">
        <v>590</v>
      </c>
      <c r="F113" s="6" t="s">
        <v>591</v>
      </c>
      <c r="G113" s="2" t="s">
        <v>169</v>
      </c>
      <c r="H113" s="2" t="s">
        <v>158</v>
      </c>
      <c r="I113" s="2" t="s">
        <v>124</v>
      </c>
      <c r="J113" s="2">
        <v>0.05</v>
      </c>
      <c r="K113" s="2" t="s">
        <v>640</v>
      </c>
    </row>
    <row r="114" spans="1:11" s="2" customFormat="1" ht="45" x14ac:dyDescent="0.25">
      <c r="A114" s="8" t="s">
        <v>144</v>
      </c>
      <c r="B114" s="2" t="s">
        <v>9</v>
      </c>
      <c r="C114" s="2" t="s">
        <v>16</v>
      </c>
      <c r="D114" s="6" t="s">
        <v>621</v>
      </c>
      <c r="E114" s="6" t="s">
        <v>622</v>
      </c>
      <c r="F114" s="6" t="s">
        <v>87</v>
      </c>
      <c r="G114" s="2" t="s">
        <v>197</v>
      </c>
      <c r="H114" s="2" t="s">
        <v>156</v>
      </c>
      <c r="I114" s="2" t="s">
        <v>122</v>
      </c>
      <c r="J114" s="2" t="s">
        <v>157</v>
      </c>
      <c r="K114" s="2" t="s">
        <v>639</v>
      </c>
    </row>
    <row r="115" spans="1:11" s="2" customFormat="1" ht="45" x14ac:dyDescent="0.25">
      <c r="A115" s="8" t="s">
        <v>611</v>
      </c>
      <c r="B115" s="2" t="s">
        <v>15</v>
      </c>
      <c r="C115" s="2" t="s">
        <v>35</v>
      </c>
      <c r="D115" s="6" t="s">
        <v>56</v>
      </c>
      <c r="E115" s="6" t="s">
        <v>84</v>
      </c>
      <c r="F115" s="6" t="s">
        <v>116</v>
      </c>
      <c r="G115" s="2" t="s">
        <v>169</v>
      </c>
      <c r="H115" s="2" t="s">
        <v>156</v>
      </c>
      <c r="I115" s="2" t="s">
        <v>123</v>
      </c>
      <c r="J115" s="2" t="s">
        <v>180</v>
      </c>
      <c r="K115" s="2" t="s">
        <v>640</v>
      </c>
    </row>
    <row r="116" spans="1:11" s="2" customFormat="1" ht="45" x14ac:dyDescent="0.25">
      <c r="A116" s="8" t="s">
        <v>442</v>
      </c>
      <c r="B116" s="2" t="s">
        <v>15</v>
      </c>
      <c r="C116" s="2" t="s">
        <v>439</v>
      </c>
      <c r="D116" s="6" t="s">
        <v>443</v>
      </c>
      <c r="E116" s="6" t="s">
        <v>444</v>
      </c>
      <c r="F116" s="6" t="s">
        <v>445</v>
      </c>
      <c r="G116" s="2" t="s">
        <v>169</v>
      </c>
      <c r="H116" s="2" t="s">
        <v>156</v>
      </c>
      <c r="I116" s="2" t="s">
        <v>119</v>
      </c>
      <c r="J116" s="2" t="s">
        <v>180</v>
      </c>
      <c r="K116" s="2" t="s">
        <v>640</v>
      </c>
    </row>
    <row r="117" spans="1:11" s="2" customFormat="1" ht="75" x14ac:dyDescent="0.25">
      <c r="A117" s="8" t="s">
        <v>232</v>
      </c>
      <c r="B117" s="2" t="s">
        <v>11</v>
      </c>
      <c r="C117" s="2" t="s">
        <v>227</v>
      </c>
      <c r="D117" s="6" t="s">
        <v>231</v>
      </c>
      <c r="E117" s="6" t="s">
        <v>63</v>
      </c>
      <c r="F117" s="6" t="s">
        <v>94</v>
      </c>
      <c r="G117" s="2" t="s">
        <v>169</v>
      </c>
      <c r="H117" s="2" t="s">
        <v>156</v>
      </c>
      <c r="I117" s="2" t="s">
        <v>120</v>
      </c>
      <c r="J117" s="2" t="s">
        <v>180</v>
      </c>
      <c r="K117" s="2" t="s">
        <v>639</v>
      </c>
    </row>
    <row r="118" spans="1:11" s="2" customFormat="1" ht="45" x14ac:dyDescent="0.25">
      <c r="A118" s="8" t="s">
        <v>232</v>
      </c>
      <c r="B118" s="2" t="s">
        <v>11</v>
      </c>
      <c r="C118" s="2" t="s">
        <v>273</v>
      </c>
      <c r="D118" s="6" t="s">
        <v>282</v>
      </c>
      <c r="E118" s="6" t="s">
        <v>283</v>
      </c>
      <c r="F118" s="6" t="s">
        <v>276</v>
      </c>
      <c r="G118" s="2" t="s">
        <v>169</v>
      </c>
      <c r="H118" s="2" t="s">
        <v>158</v>
      </c>
      <c r="I118" s="2" t="s">
        <v>119</v>
      </c>
      <c r="J118" s="2">
        <v>0.1</v>
      </c>
      <c r="K118" s="2" t="s">
        <v>639</v>
      </c>
    </row>
    <row r="119" spans="1:11" s="2" customFormat="1" ht="60" x14ac:dyDescent="0.25">
      <c r="A119" s="8" t="s">
        <v>198</v>
      </c>
      <c r="B119" s="2" t="s">
        <v>11</v>
      </c>
      <c r="C119" s="2" t="s">
        <v>184</v>
      </c>
      <c r="D119" s="6" t="s">
        <v>193</v>
      </c>
      <c r="E119" s="6" t="s">
        <v>196</v>
      </c>
      <c r="F119" s="6" t="s">
        <v>195</v>
      </c>
      <c r="G119" s="2" t="s">
        <v>197</v>
      </c>
      <c r="H119" s="2" t="s">
        <v>156</v>
      </c>
      <c r="I119" s="2" t="s">
        <v>119</v>
      </c>
      <c r="J119" s="2" t="s">
        <v>180</v>
      </c>
      <c r="K119" s="2" t="s">
        <v>640</v>
      </c>
    </row>
    <row r="120" spans="1:11" s="2" customFormat="1" ht="60" x14ac:dyDescent="0.25">
      <c r="A120" s="8" t="s">
        <v>198</v>
      </c>
      <c r="B120" s="2" t="s">
        <v>11</v>
      </c>
      <c r="C120" s="2" t="s">
        <v>21</v>
      </c>
      <c r="D120" s="6" t="s">
        <v>247</v>
      </c>
      <c r="E120" s="6" t="s">
        <v>246</v>
      </c>
      <c r="F120" s="6" t="s">
        <v>242</v>
      </c>
      <c r="G120" s="2" t="s">
        <v>197</v>
      </c>
      <c r="H120" s="2" t="s">
        <v>156</v>
      </c>
      <c r="I120" s="2" t="s">
        <v>119</v>
      </c>
      <c r="J120" s="2" t="s">
        <v>180</v>
      </c>
      <c r="K120" s="2" t="s">
        <v>639</v>
      </c>
    </row>
    <row r="121" spans="1:11" s="2" customFormat="1" ht="60" x14ac:dyDescent="0.25">
      <c r="A121" s="8" t="s">
        <v>159</v>
      </c>
      <c r="B121" s="2" t="s">
        <v>9</v>
      </c>
      <c r="C121" s="2" t="s">
        <v>162</v>
      </c>
      <c r="D121" s="6" t="s">
        <v>163</v>
      </c>
      <c r="E121" s="6" t="s">
        <v>59</v>
      </c>
      <c r="F121" s="6" t="s">
        <v>88</v>
      </c>
      <c r="G121" s="2" t="s">
        <v>164</v>
      </c>
      <c r="H121" s="2" t="s">
        <v>156</v>
      </c>
      <c r="I121" s="2" t="s">
        <v>119</v>
      </c>
      <c r="J121" s="5">
        <v>0.1</v>
      </c>
      <c r="K121" s="2" t="s">
        <v>640</v>
      </c>
    </row>
    <row r="122" spans="1:11" s="2" customFormat="1" ht="45" x14ac:dyDescent="0.25">
      <c r="A122" s="8" t="s">
        <v>159</v>
      </c>
      <c r="B122" s="2" t="s">
        <v>10</v>
      </c>
      <c r="C122" s="2" t="s">
        <v>17</v>
      </c>
      <c r="D122" s="6" t="s">
        <v>623</v>
      </c>
      <c r="E122" s="6" t="s">
        <v>624</v>
      </c>
      <c r="F122" s="6" t="s">
        <v>90</v>
      </c>
      <c r="G122" s="2" t="s">
        <v>169</v>
      </c>
      <c r="H122" s="2" t="s">
        <v>156</v>
      </c>
      <c r="I122" s="2" t="s">
        <v>119</v>
      </c>
      <c r="J122" s="2" t="s">
        <v>180</v>
      </c>
      <c r="K122" s="2" t="s">
        <v>639</v>
      </c>
    </row>
    <row r="123" spans="1:11" s="2" customFormat="1" ht="45" x14ac:dyDescent="0.25">
      <c r="A123" s="8" t="s">
        <v>159</v>
      </c>
      <c r="B123" s="2" t="s">
        <v>10</v>
      </c>
      <c r="C123" s="2" t="s">
        <v>17</v>
      </c>
      <c r="D123" s="6" t="s">
        <v>625</v>
      </c>
      <c r="E123" s="6" t="s">
        <v>60</v>
      </c>
      <c r="F123" s="6" t="s">
        <v>89</v>
      </c>
      <c r="G123" s="2" t="s">
        <v>169</v>
      </c>
      <c r="H123" s="2" t="s">
        <v>158</v>
      </c>
      <c r="I123" s="2" t="s">
        <v>119</v>
      </c>
      <c r="J123" s="2">
        <v>0.1</v>
      </c>
      <c r="K123" s="2" t="s">
        <v>639</v>
      </c>
    </row>
    <row r="124" spans="1:11" s="2" customFormat="1" ht="60" x14ac:dyDescent="0.25">
      <c r="A124" s="8" t="s">
        <v>159</v>
      </c>
      <c r="B124" s="2" t="s">
        <v>11</v>
      </c>
      <c r="C124" s="2" t="s">
        <v>165</v>
      </c>
      <c r="D124" s="6" t="s">
        <v>166</v>
      </c>
      <c r="E124" s="6" t="s">
        <v>167</v>
      </c>
      <c r="F124" s="6" t="s">
        <v>168</v>
      </c>
      <c r="G124" s="2" t="s">
        <v>169</v>
      </c>
      <c r="H124" s="2" t="s">
        <v>158</v>
      </c>
      <c r="I124" s="2" t="s">
        <v>119</v>
      </c>
      <c r="J124" s="2">
        <v>0.1</v>
      </c>
      <c r="K124" s="2" t="s">
        <v>639</v>
      </c>
    </row>
    <row r="125" spans="1:11" s="2" customFormat="1" ht="60" x14ac:dyDescent="0.25">
      <c r="A125" s="8" t="s">
        <v>159</v>
      </c>
      <c r="B125" s="2" t="s">
        <v>11</v>
      </c>
      <c r="C125" s="2" t="s">
        <v>184</v>
      </c>
      <c r="D125" s="6" t="s">
        <v>40</v>
      </c>
      <c r="E125" s="6" t="s">
        <v>185</v>
      </c>
      <c r="F125" s="6" t="s">
        <v>91</v>
      </c>
      <c r="G125" s="2" t="s">
        <v>169</v>
      </c>
      <c r="H125" s="2" t="s">
        <v>158</v>
      </c>
      <c r="I125" s="2" t="s">
        <v>119</v>
      </c>
      <c r="J125" s="2">
        <v>0.1</v>
      </c>
      <c r="K125" s="2" t="s">
        <v>640</v>
      </c>
    </row>
    <row r="126" spans="1:11" s="2" customFormat="1" ht="60" x14ac:dyDescent="0.25">
      <c r="A126" s="8" t="s">
        <v>159</v>
      </c>
      <c r="B126" s="2" t="s">
        <v>11</v>
      </c>
      <c r="C126" s="2" t="s">
        <v>209</v>
      </c>
      <c r="D126" s="6" t="s">
        <v>210</v>
      </c>
      <c r="E126" s="6" t="s">
        <v>211</v>
      </c>
      <c r="F126" s="6" t="s">
        <v>93</v>
      </c>
      <c r="G126" s="2" t="s">
        <v>169</v>
      </c>
      <c r="H126" s="2" t="s">
        <v>202</v>
      </c>
      <c r="I126" s="2" t="s">
        <v>119</v>
      </c>
      <c r="J126" s="2">
        <v>0.1</v>
      </c>
      <c r="K126" s="2" t="s">
        <v>640</v>
      </c>
    </row>
    <row r="127" spans="1:11" s="2" customFormat="1" ht="75" x14ac:dyDescent="0.25">
      <c r="A127" s="8" t="s">
        <v>159</v>
      </c>
      <c r="B127" s="2" t="s">
        <v>11</v>
      </c>
      <c r="C127" s="2" t="s">
        <v>227</v>
      </c>
      <c r="D127" s="6" t="s">
        <v>228</v>
      </c>
      <c r="E127" s="6" t="s">
        <v>63</v>
      </c>
      <c r="F127" s="6" t="s">
        <v>94</v>
      </c>
      <c r="G127" s="2" t="s">
        <v>169</v>
      </c>
      <c r="H127" s="2" t="s">
        <v>156</v>
      </c>
      <c r="I127" s="2" t="s">
        <v>120</v>
      </c>
      <c r="J127" s="2" t="s">
        <v>180</v>
      </c>
      <c r="K127" s="2" t="s">
        <v>639</v>
      </c>
    </row>
    <row r="128" spans="1:11" s="2" customFormat="1" ht="60" x14ac:dyDescent="0.25">
      <c r="A128" s="8" t="s">
        <v>159</v>
      </c>
      <c r="B128" s="2" t="s">
        <v>11</v>
      </c>
      <c r="C128" s="2" t="s">
        <v>21</v>
      </c>
      <c r="D128" s="6" t="s">
        <v>245</v>
      </c>
      <c r="E128" s="6" t="s">
        <v>246</v>
      </c>
      <c r="F128" s="6" t="s">
        <v>242</v>
      </c>
      <c r="G128" s="2" t="s">
        <v>197</v>
      </c>
      <c r="H128" s="2" t="s">
        <v>156</v>
      </c>
      <c r="I128" s="2" t="s">
        <v>119</v>
      </c>
      <c r="J128" s="2" t="s">
        <v>180</v>
      </c>
      <c r="K128" s="2" t="s">
        <v>639</v>
      </c>
    </row>
    <row r="129" spans="1:11" s="2" customFormat="1" ht="60" x14ac:dyDescent="0.25">
      <c r="A129" s="8" t="s">
        <v>159</v>
      </c>
      <c r="B129" s="2" t="s">
        <v>11</v>
      </c>
      <c r="C129" s="2" t="s">
        <v>23</v>
      </c>
      <c r="D129" s="6" t="s">
        <v>43</v>
      </c>
      <c r="E129" s="6" t="s">
        <v>254</v>
      </c>
      <c r="F129" s="6" t="s">
        <v>255</v>
      </c>
      <c r="G129" s="2" t="s">
        <v>169</v>
      </c>
      <c r="H129" s="2" t="s">
        <v>158</v>
      </c>
      <c r="I129" s="2" t="s">
        <v>256</v>
      </c>
      <c r="J129" s="2">
        <v>0.1</v>
      </c>
      <c r="K129" s="2" t="s">
        <v>639</v>
      </c>
    </row>
    <row r="130" spans="1:11" s="2" customFormat="1" ht="105" x14ac:dyDescent="0.25">
      <c r="A130" s="8" t="s">
        <v>159</v>
      </c>
      <c r="B130" s="2" t="s">
        <v>11</v>
      </c>
      <c r="C130" s="2" t="s">
        <v>273</v>
      </c>
      <c r="D130" s="6" t="s">
        <v>284</v>
      </c>
      <c r="E130" s="6" t="s">
        <v>285</v>
      </c>
      <c r="F130" s="6" t="s">
        <v>286</v>
      </c>
      <c r="G130" s="2" t="s">
        <v>169</v>
      </c>
      <c r="H130" s="2" t="s">
        <v>202</v>
      </c>
      <c r="I130" s="2" t="s">
        <v>119</v>
      </c>
      <c r="J130" s="2">
        <v>0.1</v>
      </c>
      <c r="K130" s="2" t="s">
        <v>639</v>
      </c>
    </row>
    <row r="131" spans="1:11" s="2" customFormat="1" ht="60" x14ac:dyDescent="0.25">
      <c r="A131" s="8" t="s">
        <v>159</v>
      </c>
      <c r="B131" s="2" t="s">
        <v>14</v>
      </c>
      <c r="C131" s="2" t="s">
        <v>315</v>
      </c>
      <c r="D131" s="6" t="s">
        <v>332</v>
      </c>
      <c r="E131" s="6" t="s">
        <v>71</v>
      </c>
      <c r="F131" s="6" t="s">
        <v>104</v>
      </c>
      <c r="G131" s="2" t="s">
        <v>169</v>
      </c>
      <c r="H131" s="2" t="s">
        <v>158</v>
      </c>
      <c r="I131" s="2" t="s">
        <v>119</v>
      </c>
      <c r="J131" s="2">
        <v>0.1</v>
      </c>
      <c r="K131" s="2" t="s">
        <v>640</v>
      </c>
    </row>
    <row r="132" spans="1:11" s="2" customFormat="1" ht="60" x14ac:dyDescent="0.25">
      <c r="A132" s="8" t="s">
        <v>159</v>
      </c>
      <c r="B132" s="2" t="s">
        <v>15</v>
      </c>
      <c r="C132" s="2" t="s">
        <v>450</v>
      </c>
      <c r="D132" s="6" t="s">
        <v>451</v>
      </c>
      <c r="E132" s="6" t="s">
        <v>452</v>
      </c>
      <c r="F132" s="6" t="s">
        <v>453</v>
      </c>
      <c r="G132" s="2" t="s">
        <v>197</v>
      </c>
      <c r="H132" s="2" t="s">
        <v>156</v>
      </c>
      <c r="I132" s="19">
        <v>1</v>
      </c>
      <c r="J132" s="2" t="s">
        <v>180</v>
      </c>
      <c r="K132" s="2" t="s">
        <v>640</v>
      </c>
    </row>
    <row r="133" spans="1:11" s="2" customFormat="1" ht="60" x14ac:dyDescent="0.25">
      <c r="A133" s="8" t="s">
        <v>159</v>
      </c>
      <c r="B133" s="2" t="s">
        <v>15</v>
      </c>
      <c r="C133" s="2" t="s">
        <v>467</v>
      </c>
      <c r="D133" s="6" t="s">
        <v>480</v>
      </c>
      <c r="E133" s="6" t="s">
        <v>481</v>
      </c>
      <c r="F133" s="6" t="s">
        <v>482</v>
      </c>
      <c r="G133" s="2" t="s">
        <v>169</v>
      </c>
      <c r="H133" s="2" t="s">
        <v>156</v>
      </c>
      <c r="I133" s="2" t="s">
        <v>119</v>
      </c>
      <c r="J133" s="2" t="s">
        <v>180</v>
      </c>
      <c r="K133" s="2" t="s">
        <v>640</v>
      </c>
    </row>
    <row r="134" spans="1:11" s="2" customFormat="1" ht="105" x14ac:dyDescent="0.25">
      <c r="A134" s="8" t="s">
        <v>159</v>
      </c>
      <c r="B134" s="2" t="s">
        <v>15</v>
      </c>
      <c r="C134" s="2" t="s">
        <v>32</v>
      </c>
      <c r="D134" s="6" t="s">
        <v>540</v>
      </c>
      <c r="E134" s="6" t="s">
        <v>541</v>
      </c>
      <c r="F134" s="6" t="s">
        <v>542</v>
      </c>
      <c r="G134" s="2" t="s">
        <v>169</v>
      </c>
      <c r="H134" s="2" t="s">
        <v>202</v>
      </c>
      <c r="I134" s="2" t="s">
        <v>119</v>
      </c>
      <c r="J134" s="2">
        <v>0.1</v>
      </c>
      <c r="K134" s="2" t="s">
        <v>639</v>
      </c>
    </row>
    <row r="135" spans="1:11" s="2" customFormat="1" ht="60" x14ac:dyDescent="0.25">
      <c r="A135" s="8" t="s">
        <v>170</v>
      </c>
      <c r="B135" s="2" t="s">
        <v>11</v>
      </c>
      <c r="C135" s="2" t="s">
        <v>165</v>
      </c>
      <c r="D135" s="6" t="s">
        <v>171</v>
      </c>
      <c r="E135" s="6" t="s">
        <v>172</v>
      </c>
      <c r="F135" s="6" t="s">
        <v>173</v>
      </c>
      <c r="G135" s="2" t="s">
        <v>169</v>
      </c>
      <c r="H135" s="2" t="s">
        <v>158</v>
      </c>
      <c r="I135" s="2" t="s">
        <v>119</v>
      </c>
      <c r="J135" s="2">
        <v>0.1</v>
      </c>
      <c r="K135" s="2" t="s">
        <v>639</v>
      </c>
    </row>
    <row r="136" spans="1:11" s="2" customFormat="1" ht="60" x14ac:dyDescent="0.25">
      <c r="A136" s="8" t="s">
        <v>127</v>
      </c>
      <c r="B136" s="2" t="s">
        <v>9</v>
      </c>
      <c r="C136" s="2" t="s">
        <v>162</v>
      </c>
      <c r="D136" s="6" t="s">
        <v>163</v>
      </c>
      <c r="E136" s="6" t="s">
        <v>59</v>
      </c>
      <c r="F136" s="6" t="s">
        <v>88</v>
      </c>
      <c r="G136" s="2" t="s">
        <v>164</v>
      </c>
      <c r="H136" s="2" t="s">
        <v>156</v>
      </c>
      <c r="I136" s="2" t="s">
        <v>119</v>
      </c>
      <c r="J136" s="2">
        <v>0.1</v>
      </c>
      <c r="K136" s="2" t="s">
        <v>640</v>
      </c>
    </row>
    <row r="137" spans="1:11" s="2" customFormat="1" ht="60" x14ac:dyDescent="0.25">
      <c r="A137" s="8" t="s">
        <v>127</v>
      </c>
      <c r="B137" s="2" t="s">
        <v>11</v>
      </c>
      <c r="C137" s="2" t="s">
        <v>165</v>
      </c>
      <c r="D137" s="6" t="s">
        <v>174</v>
      </c>
      <c r="E137" s="6" t="s">
        <v>175</v>
      </c>
      <c r="F137" s="6" t="s">
        <v>176</v>
      </c>
      <c r="G137" s="2" t="s">
        <v>169</v>
      </c>
      <c r="H137" s="2" t="s">
        <v>158</v>
      </c>
      <c r="I137" s="2" t="s">
        <v>119</v>
      </c>
      <c r="J137" s="2">
        <v>0.1</v>
      </c>
      <c r="K137" s="2" t="s">
        <v>639</v>
      </c>
    </row>
    <row r="138" spans="1:11" s="2" customFormat="1" ht="60" x14ac:dyDescent="0.25">
      <c r="A138" s="8" t="s">
        <v>127</v>
      </c>
      <c r="B138" s="2" t="s">
        <v>11</v>
      </c>
      <c r="C138" s="2" t="s">
        <v>184</v>
      </c>
      <c r="D138" s="6" t="s">
        <v>40</v>
      </c>
      <c r="E138" s="6" t="s">
        <v>185</v>
      </c>
      <c r="F138" s="6" t="s">
        <v>91</v>
      </c>
      <c r="G138" s="2" t="s">
        <v>169</v>
      </c>
      <c r="H138" s="2" t="s">
        <v>158</v>
      </c>
      <c r="I138" s="2" t="s">
        <v>119</v>
      </c>
      <c r="J138" s="2">
        <v>0.1</v>
      </c>
      <c r="K138" s="2" t="s">
        <v>640</v>
      </c>
    </row>
    <row r="139" spans="1:11" s="2" customFormat="1" ht="60" x14ac:dyDescent="0.25">
      <c r="A139" s="8" t="s">
        <v>127</v>
      </c>
      <c r="B139" s="2" t="s">
        <v>11</v>
      </c>
      <c r="C139" s="2" t="s">
        <v>209</v>
      </c>
      <c r="D139" s="6" t="s">
        <v>212</v>
      </c>
      <c r="E139" s="6" t="s">
        <v>213</v>
      </c>
      <c r="F139" s="6" t="s">
        <v>93</v>
      </c>
      <c r="G139" s="2" t="s">
        <v>169</v>
      </c>
      <c r="H139" s="2" t="s">
        <v>202</v>
      </c>
      <c r="I139" s="2" t="s">
        <v>119</v>
      </c>
      <c r="J139" s="2">
        <v>0.1</v>
      </c>
      <c r="K139" s="2" t="s">
        <v>640</v>
      </c>
    </row>
    <row r="140" spans="1:11" s="2" customFormat="1" ht="75" x14ac:dyDescent="0.25">
      <c r="A140" s="8" t="s">
        <v>127</v>
      </c>
      <c r="B140" s="2" t="s">
        <v>11</v>
      </c>
      <c r="C140" s="2" t="s">
        <v>227</v>
      </c>
      <c r="D140" s="6" t="s">
        <v>229</v>
      </c>
      <c r="E140" s="6" t="s">
        <v>63</v>
      </c>
      <c r="F140" s="6" t="s">
        <v>94</v>
      </c>
      <c r="G140" s="2" t="s">
        <v>169</v>
      </c>
      <c r="H140" s="2" t="s">
        <v>156</v>
      </c>
      <c r="I140" s="2" t="s">
        <v>120</v>
      </c>
      <c r="J140" s="2" t="s">
        <v>180</v>
      </c>
      <c r="K140" s="2" t="s">
        <v>639</v>
      </c>
    </row>
    <row r="141" spans="1:11" s="2" customFormat="1" ht="60" x14ac:dyDescent="0.25">
      <c r="A141" s="8" t="s">
        <v>127</v>
      </c>
      <c r="B141" s="2" t="s">
        <v>11</v>
      </c>
      <c r="C141" s="2" t="s">
        <v>21</v>
      </c>
      <c r="D141" s="6" t="s">
        <v>245</v>
      </c>
      <c r="E141" s="6" t="s">
        <v>246</v>
      </c>
      <c r="F141" s="6" t="s">
        <v>242</v>
      </c>
      <c r="G141" s="2" t="s">
        <v>197</v>
      </c>
      <c r="H141" s="2" t="s">
        <v>156</v>
      </c>
      <c r="I141" s="2" t="s">
        <v>119</v>
      </c>
      <c r="J141" s="2" t="s">
        <v>180</v>
      </c>
      <c r="K141" s="2" t="s">
        <v>639</v>
      </c>
    </row>
    <row r="142" spans="1:11" s="2" customFormat="1" ht="60" x14ac:dyDescent="0.25">
      <c r="A142" s="8" t="s">
        <v>127</v>
      </c>
      <c r="B142" s="2" t="s">
        <v>11</v>
      </c>
      <c r="C142" s="2" t="s">
        <v>23</v>
      </c>
      <c r="D142" s="6" t="s">
        <v>257</v>
      </c>
      <c r="E142" s="6" t="s">
        <v>254</v>
      </c>
      <c r="F142" s="6" t="s">
        <v>255</v>
      </c>
      <c r="G142" s="2" t="s">
        <v>169</v>
      </c>
      <c r="H142" s="2" t="s">
        <v>158</v>
      </c>
      <c r="I142" s="2" t="s">
        <v>256</v>
      </c>
      <c r="J142" s="2">
        <v>0.1</v>
      </c>
      <c r="K142" s="2" t="s">
        <v>639</v>
      </c>
    </row>
    <row r="143" spans="1:11" s="2" customFormat="1" ht="45" x14ac:dyDescent="0.25">
      <c r="A143" s="8" t="s">
        <v>127</v>
      </c>
      <c r="B143" s="2" t="s">
        <v>11</v>
      </c>
      <c r="C143" s="2" t="s">
        <v>261</v>
      </c>
      <c r="D143" s="6" t="s">
        <v>267</v>
      </c>
      <c r="E143" s="6" t="s">
        <v>268</v>
      </c>
      <c r="F143" s="6" t="s">
        <v>269</v>
      </c>
      <c r="G143" s="2" t="s">
        <v>169</v>
      </c>
      <c r="H143" s="2" t="s">
        <v>156</v>
      </c>
      <c r="I143" s="2" t="s">
        <v>124</v>
      </c>
      <c r="J143" s="2" t="s">
        <v>180</v>
      </c>
      <c r="K143" s="2" t="s">
        <v>639</v>
      </c>
    </row>
    <row r="144" spans="1:11" s="2" customFormat="1" ht="45" x14ac:dyDescent="0.25">
      <c r="A144" s="8" t="s">
        <v>127</v>
      </c>
      <c r="B144" s="2" t="s">
        <v>11</v>
      </c>
      <c r="C144" s="2" t="s">
        <v>273</v>
      </c>
      <c r="D144" s="6" t="s">
        <v>274</v>
      </c>
      <c r="E144" s="6" t="s">
        <v>275</v>
      </c>
      <c r="F144" s="6" t="s">
        <v>280</v>
      </c>
      <c r="G144" s="2" t="s">
        <v>169</v>
      </c>
      <c r="H144" s="2" t="s">
        <v>158</v>
      </c>
      <c r="I144" s="2" t="s">
        <v>119</v>
      </c>
      <c r="J144" s="2">
        <v>0.1</v>
      </c>
      <c r="K144" s="2" t="s">
        <v>639</v>
      </c>
    </row>
    <row r="145" spans="1:11" s="2" customFormat="1" ht="105" x14ac:dyDescent="0.25">
      <c r="A145" s="8" t="s">
        <v>127</v>
      </c>
      <c r="B145" s="2" t="s">
        <v>11</v>
      </c>
      <c r="C145" s="2" t="s">
        <v>273</v>
      </c>
      <c r="D145" s="6" t="s">
        <v>287</v>
      </c>
      <c r="E145" s="6" t="s">
        <v>285</v>
      </c>
      <c r="F145" s="6" t="s">
        <v>286</v>
      </c>
      <c r="G145" s="2" t="s">
        <v>169</v>
      </c>
      <c r="H145" s="2" t="s">
        <v>158</v>
      </c>
      <c r="I145" s="2" t="s">
        <v>119</v>
      </c>
      <c r="J145" s="2">
        <v>0.1</v>
      </c>
      <c r="K145" s="2" t="s">
        <v>639</v>
      </c>
    </row>
    <row r="146" spans="1:11" s="2" customFormat="1" ht="60" x14ac:dyDescent="0.25">
      <c r="A146" s="8" t="s">
        <v>127</v>
      </c>
      <c r="B146" s="2" t="s">
        <v>14</v>
      </c>
      <c r="C146" s="2" t="s">
        <v>315</v>
      </c>
      <c r="D146" s="6" t="s">
        <v>332</v>
      </c>
      <c r="E146" s="6" t="s">
        <v>71</v>
      </c>
      <c r="F146" s="6" t="s">
        <v>104</v>
      </c>
      <c r="G146" s="2" t="s">
        <v>169</v>
      </c>
      <c r="H146" s="2" t="s">
        <v>158</v>
      </c>
      <c r="I146" s="2" t="s">
        <v>119</v>
      </c>
      <c r="J146" s="2">
        <v>0.1</v>
      </c>
      <c r="K146" s="2" t="s">
        <v>640</v>
      </c>
    </row>
    <row r="147" spans="1:11" s="2" customFormat="1" ht="45" x14ac:dyDescent="0.25">
      <c r="A147" s="8" t="s">
        <v>127</v>
      </c>
      <c r="B147" s="2" t="s">
        <v>14</v>
      </c>
      <c r="C147" s="2" t="s">
        <v>353</v>
      </c>
      <c r="D147" s="6" t="s">
        <v>354</v>
      </c>
      <c r="E147" s="6" t="s">
        <v>355</v>
      </c>
      <c r="F147" s="6" t="s">
        <v>356</v>
      </c>
      <c r="G147" s="2" t="s">
        <v>169</v>
      </c>
      <c r="H147" s="2" t="s">
        <v>156</v>
      </c>
      <c r="I147" s="2" t="s">
        <v>119</v>
      </c>
      <c r="J147" s="2" t="s">
        <v>180</v>
      </c>
      <c r="K147" s="2" t="s">
        <v>640</v>
      </c>
    </row>
    <row r="148" spans="1:11" s="2" customFormat="1" ht="60" x14ac:dyDescent="0.25">
      <c r="A148" s="8" t="s">
        <v>127</v>
      </c>
      <c r="B148" s="2" t="s">
        <v>15</v>
      </c>
      <c r="C148" s="2" t="s">
        <v>450</v>
      </c>
      <c r="D148" s="6" t="s">
        <v>451</v>
      </c>
      <c r="E148" s="6" t="s">
        <v>452</v>
      </c>
      <c r="F148" s="6" t="s">
        <v>453</v>
      </c>
      <c r="G148" s="2" t="s">
        <v>197</v>
      </c>
      <c r="H148" s="2" t="s">
        <v>156</v>
      </c>
      <c r="I148" s="19">
        <v>1</v>
      </c>
      <c r="J148" s="2" t="s">
        <v>180</v>
      </c>
      <c r="K148" s="2" t="s">
        <v>640</v>
      </c>
    </row>
    <row r="149" spans="1:11" s="2" customFormat="1" ht="60" x14ac:dyDescent="0.25">
      <c r="A149" s="8" t="s">
        <v>127</v>
      </c>
      <c r="B149" s="2" t="s">
        <v>15</v>
      </c>
      <c r="C149" s="2" t="s">
        <v>467</v>
      </c>
      <c r="D149" s="6" t="s">
        <v>486</v>
      </c>
      <c r="E149" s="6" t="s">
        <v>487</v>
      </c>
      <c r="F149" s="6" t="s">
        <v>488</v>
      </c>
      <c r="G149" s="2" t="s">
        <v>169</v>
      </c>
      <c r="H149" s="2" t="s">
        <v>156</v>
      </c>
      <c r="I149" s="2" t="s">
        <v>119</v>
      </c>
      <c r="J149" s="2" t="s">
        <v>180</v>
      </c>
      <c r="K149" s="2" t="s">
        <v>640</v>
      </c>
    </row>
    <row r="150" spans="1:11" s="2" customFormat="1" ht="105" x14ac:dyDescent="0.25">
      <c r="A150" s="8" t="s">
        <v>127</v>
      </c>
      <c r="B150" s="2" t="s">
        <v>15</v>
      </c>
      <c r="C150" s="2" t="s">
        <v>32</v>
      </c>
      <c r="D150" s="6" t="s">
        <v>536</v>
      </c>
      <c r="E150" s="6" t="s">
        <v>82</v>
      </c>
      <c r="F150" s="6" t="s">
        <v>113</v>
      </c>
      <c r="G150" s="2" t="s">
        <v>169</v>
      </c>
      <c r="H150" s="2" t="s">
        <v>158</v>
      </c>
      <c r="I150" s="2" t="s">
        <v>123</v>
      </c>
      <c r="J150" s="2">
        <v>0.1</v>
      </c>
      <c r="K150" s="2" t="s">
        <v>639</v>
      </c>
    </row>
    <row r="151" spans="1:11" s="2" customFormat="1" ht="45" x14ac:dyDescent="0.25">
      <c r="A151" s="8" t="s">
        <v>127</v>
      </c>
      <c r="B151" s="2" t="s">
        <v>9</v>
      </c>
      <c r="C151" s="2" t="s">
        <v>16</v>
      </c>
      <c r="D151" s="6" t="s">
        <v>621</v>
      </c>
      <c r="E151" s="6" t="s">
        <v>622</v>
      </c>
      <c r="F151" s="6" t="s">
        <v>87</v>
      </c>
      <c r="G151" s="2" t="s">
        <v>197</v>
      </c>
      <c r="H151" s="2" t="s">
        <v>156</v>
      </c>
      <c r="I151" s="2" t="s">
        <v>122</v>
      </c>
      <c r="J151" s="2" t="s">
        <v>157</v>
      </c>
      <c r="K151" s="2" t="s">
        <v>639</v>
      </c>
    </row>
    <row r="152" spans="1:11" s="2" customFormat="1" ht="60" x14ac:dyDescent="0.25">
      <c r="A152" s="8" t="s">
        <v>149</v>
      </c>
      <c r="B152" s="2" t="s">
        <v>9</v>
      </c>
      <c r="C152" s="2" t="s">
        <v>162</v>
      </c>
      <c r="D152" s="6" t="s">
        <v>163</v>
      </c>
      <c r="E152" s="6" t="s">
        <v>59</v>
      </c>
      <c r="F152" s="6" t="s">
        <v>88</v>
      </c>
      <c r="G152" s="2" t="s">
        <v>164</v>
      </c>
      <c r="H152" s="2" t="s">
        <v>156</v>
      </c>
      <c r="I152" s="2" t="s">
        <v>119</v>
      </c>
      <c r="J152" s="2">
        <v>0.1</v>
      </c>
      <c r="K152" s="2" t="s">
        <v>640</v>
      </c>
    </row>
    <row r="153" spans="1:11" s="2" customFormat="1" ht="60" x14ac:dyDescent="0.25">
      <c r="A153" s="8" t="s">
        <v>149</v>
      </c>
      <c r="B153" s="2" t="s">
        <v>11</v>
      </c>
      <c r="C153" s="2" t="s">
        <v>184</v>
      </c>
      <c r="D153" s="6" t="s">
        <v>193</v>
      </c>
      <c r="E153" s="6" t="s">
        <v>196</v>
      </c>
      <c r="F153" s="6" t="s">
        <v>195</v>
      </c>
      <c r="G153" s="2" t="s">
        <v>169</v>
      </c>
      <c r="H153" s="2" t="s">
        <v>156</v>
      </c>
      <c r="I153" s="2" t="s">
        <v>119</v>
      </c>
      <c r="J153" s="2" t="s">
        <v>180</v>
      </c>
      <c r="K153" s="2" t="s">
        <v>640</v>
      </c>
    </row>
    <row r="154" spans="1:11" s="2" customFormat="1" ht="60" x14ac:dyDescent="0.25">
      <c r="A154" s="8" t="s">
        <v>149</v>
      </c>
      <c r="B154" s="2" t="s">
        <v>11</v>
      </c>
      <c r="C154" s="2" t="s">
        <v>21</v>
      </c>
      <c r="D154" s="6" t="s">
        <v>247</v>
      </c>
      <c r="E154" s="6" t="s">
        <v>246</v>
      </c>
      <c r="F154" s="6" t="s">
        <v>242</v>
      </c>
      <c r="G154" s="2" t="s">
        <v>197</v>
      </c>
      <c r="H154" s="2" t="s">
        <v>156</v>
      </c>
      <c r="I154" s="2" t="s">
        <v>119</v>
      </c>
      <c r="J154" s="2" t="s">
        <v>180</v>
      </c>
      <c r="K154" s="2" t="s">
        <v>639</v>
      </c>
    </row>
    <row r="155" spans="1:11" s="2" customFormat="1" ht="60" x14ac:dyDescent="0.25">
      <c r="A155" s="8" t="s">
        <v>149</v>
      </c>
      <c r="B155" s="2" t="s">
        <v>11</v>
      </c>
      <c r="C155" s="2" t="s">
        <v>261</v>
      </c>
      <c r="D155" s="6" t="s">
        <v>262</v>
      </c>
      <c r="E155" s="6" t="s">
        <v>64</v>
      </c>
      <c r="F155" s="6" t="s">
        <v>95</v>
      </c>
      <c r="G155" s="2" t="s">
        <v>169</v>
      </c>
      <c r="H155" s="2" t="s">
        <v>158</v>
      </c>
      <c r="I155" s="2" t="s">
        <v>256</v>
      </c>
      <c r="J155" s="2">
        <v>0.1</v>
      </c>
      <c r="K155" s="2" t="s">
        <v>639</v>
      </c>
    </row>
    <row r="156" spans="1:11" s="2" customFormat="1" ht="45" x14ac:dyDescent="0.25">
      <c r="A156" s="8" t="s">
        <v>149</v>
      </c>
      <c r="B156" s="2" t="s">
        <v>11</v>
      </c>
      <c r="C156" s="2" t="s">
        <v>273</v>
      </c>
      <c r="D156" s="6" t="s">
        <v>274</v>
      </c>
      <c r="E156" s="6" t="s">
        <v>277</v>
      </c>
      <c r="F156" s="6" t="s">
        <v>276</v>
      </c>
      <c r="G156" s="2" t="s">
        <v>169</v>
      </c>
      <c r="H156" s="2" t="s">
        <v>158</v>
      </c>
      <c r="I156" s="2" t="s">
        <v>119</v>
      </c>
      <c r="J156" s="2">
        <v>0.1</v>
      </c>
      <c r="K156" s="2" t="s">
        <v>639</v>
      </c>
    </row>
    <row r="157" spans="1:11" s="2" customFormat="1" ht="60" x14ac:dyDescent="0.25">
      <c r="A157" s="8" t="s">
        <v>149</v>
      </c>
      <c r="B157" s="2" t="s">
        <v>14</v>
      </c>
      <c r="C157" s="2" t="s">
        <v>315</v>
      </c>
      <c r="D157" s="6" t="s">
        <v>333</v>
      </c>
      <c r="E157" s="6" t="s">
        <v>334</v>
      </c>
      <c r="F157" s="6" t="s">
        <v>335</v>
      </c>
      <c r="G157" s="2" t="s">
        <v>169</v>
      </c>
      <c r="H157" s="2" t="s">
        <v>158</v>
      </c>
      <c r="I157" s="2" t="s">
        <v>119</v>
      </c>
      <c r="J157" s="2">
        <v>0.1</v>
      </c>
      <c r="K157" s="2" t="s">
        <v>640</v>
      </c>
    </row>
    <row r="158" spans="1:11" s="2" customFormat="1" ht="60" x14ac:dyDescent="0.25">
      <c r="A158" s="8" t="s">
        <v>149</v>
      </c>
      <c r="B158" s="2" t="s">
        <v>14</v>
      </c>
      <c r="C158" s="2" t="s">
        <v>353</v>
      </c>
      <c r="D158" s="6" t="s">
        <v>376</v>
      </c>
      <c r="E158" s="6" t="s">
        <v>377</v>
      </c>
      <c r="F158" s="6" t="s">
        <v>378</v>
      </c>
      <c r="G158" s="2" t="s">
        <v>169</v>
      </c>
      <c r="H158" s="2" t="s">
        <v>158</v>
      </c>
      <c r="I158" s="2" t="s">
        <v>119</v>
      </c>
      <c r="J158" s="2">
        <v>0.1</v>
      </c>
      <c r="K158" s="2" t="s">
        <v>640</v>
      </c>
    </row>
    <row r="159" spans="1:11" s="2" customFormat="1" ht="60" x14ac:dyDescent="0.25">
      <c r="A159" s="8" t="s">
        <v>149</v>
      </c>
      <c r="B159" s="2" t="s">
        <v>15</v>
      </c>
      <c r="C159" s="2" t="s">
        <v>26</v>
      </c>
      <c r="D159" s="6" t="s">
        <v>410</v>
      </c>
      <c r="E159" s="6" t="s">
        <v>411</v>
      </c>
      <c r="F159" s="6" t="s">
        <v>412</v>
      </c>
      <c r="G159" s="2" t="s">
        <v>169</v>
      </c>
      <c r="H159" s="2" t="s">
        <v>156</v>
      </c>
      <c r="I159" s="2" t="s">
        <v>403</v>
      </c>
      <c r="J159" s="2" t="s">
        <v>180</v>
      </c>
      <c r="K159" s="2" t="s">
        <v>640</v>
      </c>
    </row>
    <row r="160" spans="1:11" s="2" customFormat="1" ht="60" x14ac:dyDescent="0.25">
      <c r="A160" s="8" t="s">
        <v>149</v>
      </c>
      <c r="B160" s="2" t="s">
        <v>15</v>
      </c>
      <c r="C160" s="2" t="s">
        <v>450</v>
      </c>
      <c r="D160" s="6" t="s">
        <v>451</v>
      </c>
      <c r="E160" s="6" t="s">
        <v>452</v>
      </c>
      <c r="F160" s="6" t="s">
        <v>453</v>
      </c>
      <c r="G160" s="2" t="s">
        <v>197</v>
      </c>
      <c r="H160" s="2" t="s">
        <v>156</v>
      </c>
      <c r="I160" s="19">
        <v>1</v>
      </c>
      <c r="J160" s="2" t="s">
        <v>180</v>
      </c>
      <c r="K160" s="2" t="s">
        <v>640</v>
      </c>
    </row>
    <row r="161" spans="1:11" s="2" customFormat="1" ht="90" x14ac:dyDescent="0.25">
      <c r="A161" s="8" t="s">
        <v>149</v>
      </c>
      <c r="B161" s="2" t="s">
        <v>15</v>
      </c>
      <c r="C161" s="2" t="s">
        <v>34</v>
      </c>
      <c r="D161" s="6" t="s">
        <v>595</v>
      </c>
      <c r="E161" s="6" t="s">
        <v>596</v>
      </c>
      <c r="F161" s="6" t="s">
        <v>597</v>
      </c>
      <c r="G161" s="2" t="s">
        <v>169</v>
      </c>
      <c r="H161" s="2" t="s">
        <v>158</v>
      </c>
      <c r="I161" s="2" t="s">
        <v>124</v>
      </c>
      <c r="J161" s="2">
        <v>0.05</v>
      </c>
      <c r="K161" s="2" t="s">
        <v>640</v>
      </c>
    </row>
    <row r="162" spans="1:11" s="2" customFormat="1" ht="45" x14ac:dyDescent="0.25">
      <c r="A162" s="8" t="s">
        <v>149</v>
      </c>
      <c r="B162" s="2" t="s">
        <v>9</v>
      </c>
      <c r="C162" s="2" t="s">
        <v>16</v>
      </c>
      <c r="D162" s="6" t="s">
        <v>621</v>
      </c>
      <c r="E162" s="6" t="s">
        <v>622</v>
      </c>
      <c r="F162" s="6" t="s">
        <v>87</v>
      </c>
      <c r="G162" s="2" t="s">
        <v>197</v>
      </c>
      <c r="H162" s="2" t="s">
        <v>156</v>
      </c>
      <c r="I162" s="2" t="s">
        <v>122</v>
      </c>
      <c r="J162" s="2" t="s">
        <v>157</v>
      </c>
      <c r="K162" s="2" t="s">
        <v>639</v>
      </c>
    </row>
    <row r="163" spans="1:11" s="2" customFormat="1" ht="60" x14ac:dyDescent="0.25">
      <c r="A163" s="8" t="s">
        <v>512</v>
      </c>
      <c r="B163" s="2" t="s">
        <v>15</v>
      </c>
      <c r="C163" s="2" t="s">
        <v>29</v>
      </c>
      <c r="D163" s="6" t="s">
        <v>513</v>
      </c>
      <c r="E163" s="6" t="s">
        <v>81</v>
      </c>
      <c r="F163" s="6" t="s">
        <v>112</v>
      </c>
      <c r="G163" s="2" t="s">
        <v>169</v>
      </c>
      <c r="H163" s="2" t="s">
        <v>156</v>
      </c>
      <c r="I163" s="2" t="s">
        <v>119</v>
      </c>
      <c r="J163" s="2" t="s">
        <v>180</v>
      </c>
      <c r="K163" s="2" t="s">
        <v>640</v>
      </c>
    </row>
    <row r="164" spans="1:11" s="2" customFormat="1" ht="45" x14ac:dyDescent="0.25">
      <c r="A164" s="8" t="s">
        <v>278</v>
      </c>
      <c r="B164" s="2" t="s">
        <v>11</v>
      </c>
      <c r="C164" s="2" t="s">
        <v>273</v>
      </c>
      <c r="D164" s="6" t="s">
        <v>274</v>
      </c>
      <c r="E164" s="6" t="s">
        <v>275</v>
      </c>
      <c r="F164" s="6" t="s">
        <v>276</v>
      </c>
      <c r="G164" s="2" t="s">
        <v>169</v>
      </c>
      <c r="H164" s="2" t="s">
        <v>202</v>
      </c>
      <c r="I164" s="2" t="s">
        <v>119</v>
      </c>
      <c r="J164" s="2">
        <v>0.1</v>
      </c>
      <c r="K164" s="2" t="s">
        <v>639</v>
      </c>
    </row>
    <row r="165" spans="1:11" s="2" customFormat="1" ht="75" x14ac:dyDescent="0.25">
      <c r="A165" s="8" t="s">
        <v>278</v>
      </c>
      <c r="B165" s="2" t="s">
        <v>14</v>
      </c>
      <c r="C165" s="2" t="s">
        <v>353</v>
      </c>
      <c r="D165" s="6" t="s">
        <v>379</v>
      </c>
      <c r="E165" s="6" t="s">
        <v>380</v>
      </c>
      <c r="F165" s="6" t="s">
        <v>107</v>
      </c>
      <c r="G165" s="2" t="s">
        <v>169</v>
      </c>
      <c r="H165" s="2" t="s">
        <v>156</v>
      </c>
      <c r="I165" s="2" t="s">
        <v>119</v>
      </c>
      <c r="J165" s="2" t="s">
        <v>180</v>
      </c>
      <c r="K165" s="2" t="s">
        <v>640</v>
      </c>
    </row>
    <row r="166" spans="1:11" s="2" customFormat="1" ht="60" x14ac:dyDescent="0.25">
      <c r="A166" s="8" t="s">
        <v>278</v>
      </c>
      <c r="B166" s="2" t="s">
        <v>15</v>
      </c>
      <c r="C166" s="2" t="s">
        <v>31</v>
      </c>
      <c r="D166" s="6" t="s">
        <v>523</v>
      </c>
      <c r="E166" s="6" t="s">
        <v>524</v>
      </c>
      <c r="F166" s="6" t="s">
        <v>525</v>
      </c>
      <c r="G166" s="2" t="s">
        <v>169</v>
      </c>
      <c r="H166" s="2" t="s">
        <v>158</v>
      </c>
      <c r="I166" s="2" t="s">
        <v>119</v>
      </c>
      <c r="J166" s="2">
        <v>0.1</v>
      </c>
      <c r="K166" s="2" t="s">
        <v>640</v>
      </c>
    </row>
    <row r="167" spans="1:11" s="2" customFormat="1" ht="75" x14ac:dyDescent="0.25">
      <c r="A167" s="8" t="s">
        <v>278</v>
      </c>
      <c r="B167" s="2" t="s">
        <v>15</v>
      </c>
      <c r="C167" s="2" t="s">
        <v>32</v>
      </c>
      <c r="D167" s="6" t="s">
        <v>547</v>
      </c>
      <c r="E167" s="6" t="s">
        <v>548</v>
      </c>
      <c r="F167" s="6" t="s">
        <v>549</v>
      </c>
      <c r="G167" s="2" t="s">
        <v>169</v>
      </c>
      <c r="H167" s="2" t="s">
        <v>202</v>
      </c>
      <c r="I167" s="2" t="s">
        <v>119</v>
      </c>
      <c r="J167" s="2">
        <v>0.1</v>
      </c>
      <c r="K167" s="2" t="s">
        <v>639</v>
      </c>
    </row>
    <row r="168" spans="1:11" s="2" customFormat="1" ht="75" x14ac:dyDescent="0.25">
      <c r="A168" s="8" t="s">
        <v>234</v>
      </c>
      <c r="B168" s="2" t="s">
        <v>11</v>
      </c>
      <c r="C168" s="2" t="s">
        <v>227</v>
      </c>
      <c r="D168" s="6" t="s">
        <v>233</v>
      </c>
      <c r="E168" s="6" t="s">
        <v>63</v>
      </c>
      <c r="F168" s="6" t="s">
        <v>94</v>
      </c>
      <c r="G168" s="2" t="s">
        <v>169</v>
      </c>
      <c r="H168" s="2" t="s">
        <v>156</v>
      </c>
      <c r="I168" s="2" t="s">
        <v>120</v>
      </c>
      <c r="J168" s="2" t="s">
        <v>180</v>
      </c>
      <c r="K168" s="2" t="s">
        <v>639</v>
      </c>
    </row>
    <row r="169" spans="1:11" s="2" customFormat="1" ht="60" x14ac:dyDescent="0.25">
      <c r="A169" s="8" t="s">
        <v>161</v>
      </c>
      <c r="B169" s="2" t="s">
        <v>9</v>
      </c>
      <c r="C169" s="2" t="s">
        <v>162</v>
      </c>
      <c r="D169" s="6" t="s">
        <v>39</v>
      </c>
      <c r="E169" s="6" t="s">
        <v>59</v>
      </c>
      <c r="F169" s="6" t="s">
        <v>88</v>
      </c>
      <c r="G169" s="2" t="s">
        <v>164</v>
      </c>
      <c r="H169" s="2" t="s">
        <v>156</v>
      </c>
      <c r="I169" s="2" t="s">
        <v>119</v>
      </c>
      <c r="J169" s="2">
        <v>0.1</v>
      </c>
      <c r="K169" s="2" t="s">
        <v>640</v>
      </c>
    </row>
    <row r="170" spans="1:11" s="2" customFormat="1" ht="60" x14ac:dyDescent="0.25">
      <c r="A170" s="8" t="s">
        <v>161</v>
      </c>
      <c r="B170" s="2" t="s">
        <v>11</v>
      </c>
      <c r="C170" s="2" t="s">
        <v>18</v>
      </c>
      <c r="D170" s="6" t="s">
        <v>181</v>
      </c>
      <c r="E170" s="6" t="s">
        <v>182</v>
      </c>
      <c r="F170" s="6" t="s">
        <v>183</v>
      </c>
      <c r="G170" s="2" t="s">
        <v>169</v>
      </c>
      <c r="H170" s="2" t="s">
        <v>158</v>
      </c>
      <c r="I170" s="2" t="s">
        <v>119</v>
      </c>
      <c r="J170" s="2">
        <v>0.1</v>
      </c>
      <c r="K170" s="2" t="s">
        <v>639</v>
      </c>
    </row>
    <row r="171" spans="1:11" s="2" customFormat="1" ht="60" x14ac:dyDescent="0.25">
      <c r="A171" s="8" t="s">
        <v>161</v>
      </c>
      <c r="B171" s="2" t="s">
        <v>11</v>
      </c>
      <c r="C171" s="2" t="s">
        <v>184</v>
      </c>
      <c r="D171" s="6" t="s">
        <v>206</v>
      </c>
      <c r="E171" s="6" t="s">
        <v>207</v>
      </c>
      <c r="F171" s="6" t="s">
        <v>208</v>
      </c>
      <c r="G171" s="2" t="s">
        <v>169</v>
      </c>
      <c r="H171" s="2" t="s">
        <v>156</v>
      </c>
      <c r="I171" s="2" t="s">
        <v>119</v>
      </c>
      <c r="J171" s="2" t="s">
        <v>180</v>
      </c>
      <c r="K171" s="2" t="s">
        <v>640</v>
      </c>
    </row>
    <row r="172" spans="1:11" s="2" customFormat="1" ht="60" x14ac:dyDescent="0.25">
      <c r="A172" s="8" t="s">
        <v>161</v>
      </c>
      <c r="B172" s="2" t="s">
        <v>11</v>
      </c>
      <c r="C172" s="2" t="s">
        <v>209</v>
      </c>
      <c r="D172" s="6" t="s">
        <v>221</v>
      </c>
      <c r="E172" s="6" t="s">
        <v>222</v>
      </c>
      <c r="F172" s="6" t="s">
        <v>93</v>
      </c>
      <c r="G172" s="2" t="s">
        <v>169</v>
      </c>
      <c r="H172" s="2" t="s">
        <v>156</v>
      </c>
      <c r="I172" s="2" t="s">
        <v>119</v>
      </c>
      <c r="J172" s="2" t="s">
        <v>180</v>
      </c>
      <c r="K172" s="2" t="s">
        <v>640</v>
      </c>
    </row>
    <row r="173" spans="1:11" s="2" customFormat="1" ht="75" x14ac:dyDescent="0.25">
      <c r="A173" s="8" t="s">
        <v>161</v>
      </c>
      <c r="B173" s="2" t="s">
        <v>11</v>
      </c>
      <c r="C173" s="2" t="s">
        <v>227</v>
      </c>
      <c r="D173" s="6" t="s">
        <v>235</v>
      </c>
      <c r="E173" s="6" t="s">
        <v>63</v>
      </c>
      <c r="F173" s="6" t="s">
        <v>94</v>
      </c>
      <c r="G173" s="2" t="s">
        <v>169</v>
      </c>
      <c r="H173" s="2" t="s">
        <v>156</v>
      </c>
      <c r="I173" s="2" t="s">
        <v>120</v>
      </c>
      <c r="J173" s="2" t="s">
        <v>180</v>
      </c>
      <c r="K173" s="2" t="s">
        <v>639</v>
      </c>
    </row>
    <row r="174" spans="1:11" s="2" customFormat="1" ht="60" x14ac:dyDescent="0.25">
      <c r="A174" s="8" t="s">
        <v>161</v>
      </c>
      <c r="B174" s="2" t="s">
        <v>11</v>
      </c>
      <c r="C174" s="2" t="s">
        <v>21</v>
      </c>
      <c r="D174" s="6" t="s">
        <v>248</v>
      </c>
      <c r="E174" s="6" t="s">
        <v>243</v>
      </c>
      <c r="F174" s="6" t="s">
        <v>249</v>
      </c>
      <c r="G174" s="2" t="s">
        <v>197</v>
      </c>
      <c r="H174" s="2" t="s">
        <v>156</v>
      </c>
      <c r="I174" s="2" t="s">
        <v>119</v>
      </c>
      <c r="J174" s="2" t="s">
        <v>180</v>
      </c>
      <c r="K174" s="2" t="s">
        <v>639</v>
      </c>
    </row>
    <row r="175" spans="1:11" s="2" customFormat="1" ht="60" x14ac:dyDescent="0.25">
      <c r="A175" s="8" t="s">
        <v>161</v>
      </c>
      <c r="B175" s="2" t="s">
        <v>11</v>
      </c>
      <c r="C175" s="2" t="s">
        <v>261</v>
      </c>
      <c r="D175" s="6" t="s">
        <v>270</v>
      </c>
      <c r="E175" s="6" t="s">
        <v>271</v>
      </c>
      <c r="F175" s="6" t="s">
        <v>272</v>
      </c>
      <c r="G175" s="2" t="s">
        <v>169</v>
      </c>
      <c r="H175" s="2" t="s">
        <v>158</v>
      </c>
      <c r="I175" s="2" t="s">
        <v>256</v>
      </c>
      <c r="J175" s="2">
        <v>0.1</v>
      </c>
      <c r="K175" s="2" t="s">
        <v>639</v>
      </c>
    </row>
    <row r="176" spans="1:11" s="2" customFormat="1" ht="60" x14ac:dyDescent="0.25">
      <c r="A176" s="8" t="s">
        <v>161</v>
      </c>
      <c r="B176" s="2" t="s">
        <v>11</v>
      </c>
      <c r="C176" s="2" t="s">
        <v>24</v>
      </c>
      <c r="D176" s="6" t="s">
        <v>291</v>
      </c>
      <c r="E176" s="6" t="s">
        <v>67</v>
      </c>
      <c r="F176" s="6" t="s">
        <v>98</v>
      </c>
      <c r="G176" s="2" t="s">
        <v>169</v>
      </c>
      <c r="H176" s="2" t="s">
        <v>158</v>
      </c>
      <c r="I176" s="2" t="s">
        <v>119</v>
      </c>
      <c r="J176" s="2">
        <v>0.1</v>
      </c>
      <c r="K176" s="2" t="s">
        <v>639</v>
      </c>
    </row>
    <row r="177" spans="1:11" s="2" customFormat="1" ht="60" x14ac:dyDescent="0.25">
      <c r="A177" s="8" t="s">
        <v>161</v>
      </c>
      <c r="B177" s="2" t="s">
        <v>14</v>
      </c>
      <c r="C177" s="2" t="s">
        <v>315</v>
      </c>
      <c r="D177" s="6" t="s">
        <v>350</v>
      </c>
      <c r="E177" s="6" t="s">
        <v>351</v>
      </c>
      <c r="F177" s="6" t="s">
        <v>352</v>
      </c>
      <c r="G177" s="2" t="s">
        <v>169</v>
      </c>
      <c r="H177" s="2" t="s">
        <v>158</v>
      </c>
      <c r="I177" s="2" t="s">
        <v>119</v>
      </c>
      <c r="J177" s="2" t="s">
        <v>180</v>
      </c>
      <c r="K177" s="2" t="s">
        <v>640</v>
      </c>
    </row>
    <row r="178" spans="1:11" s="2" customFormat="1" ht="60" x14ac:dyDescent="0.25">
      <c r="A178" s="8" t="s">
        <v>161</v>
      </c>
      <c r="B178" s="2" t="s">
        <v>15</v>
      </c>
      <c r="C178" s="2" t="s">
        <v>450</v>
      </c>
      <c r="D178" s="6" t="s">
        <v>51</v>
      </c>
      <c r="E178" s="6" t="s">
        <v>77</v>
      </c>
      <c r="F178" s="6" t="s">
        <v>110</v>
      </c>
      <c r="G178" s="2" t="s">
        <v>197</v>
      </c>
      <c r="H178" s="2" t="s">
        <v>156</v>
      </c>
      <c r="I178" s="19">
        <v>1</v>
      </c>
      <c r="J178" s="2" t="s">
        <v>180</v>
      </c>
      <c r="K178" s="2" t="s">
        <v>640</v>
      </c>
    </row>
    <row r="179" spans="1:11" s="2" customFormat="1" ht="60" x14ac:dyDescent="0.25">
      <c r="A179" s="8" t="s">
        <v>161</v>
      </c>
      <c r="B179" s="2" t="s">
        <v>15</v>
      </c>
      <c r="C179" s="2" t="s">
        <v>467</v>
      </c>
      <c r="D179" s="6" t="s">
        <v>504</v>
      </c>
      <c r="E179" s="6" t="s">
        <v>505</v>
      </c>
      <c r="F179" s="6" t="s">
        <v>506</v>
      </c>
      <c r="G179" s="2" t="s">
        <v>169</v>
      </c>
      <c r="H179" s="2" t="s">
        <v>156</v>
      </c>
      <c r="I179" s="2" t="s">
        <v>119</v>
      </c>
      <c r="J179" s="2" t="s">
        <v>180</v>
      </c>
      <c r="K179" s="2" t="s">
        <v>640</v>
      </c>
    </row>
    <row r="180" spans="1:11" s="2" customFormat="1" ht="60" x14ac:dyDescent="0.25">
      <c r="A180" s="8" t="s">
        <v>128</v>
      </c>
      <c r="B180" s="2" t="s">
        <v>13</v>
      </c>
      <c r="C180" s="2" t="s">
        <v>312</v>
      </c>
      <c r="D180" s="6" t="s">
        <v>313</v>
      </c>
      <c r="E180" s="6" t="s">
        <v>70</v>
      </c>
      <c r="F180" s="6" t="s">
        <v>99</v>
      </c>
      <c r="G180" s="2" t="s">
        <v>314</v>
      </c>
      <c r="H180" s="2" t="s">
        <v>156</v>
      </c>
      <c r="I180" s="2" t="s">
        <v>122</v>
      </c>
      <c r="J180" s="2" t="s">
        <v>180</v>
      </c>
      <c r="K180" s="2" t="s">
        <v>640</v>
      </c>
    </row>
    <row r="181" spans="1:11" s="2" customFormat="1" ht="45" x14ac:dyDescent="0.25">
      <c r="A181" s="8" t="s">
        <v>281</v>
      </c>
      <c r="B181" s="2" t="s">
        <v>11</v>
      </c>
      <c r="C181" s="2" t="s">
        <v>273</v>
      </c>
      <c r="D181" s="6" t="s">
        <v>274</v>
      </c>
      <c r="E181" s="6" t="s">
        <v>275</v>
      </c>
      <c r="F181" s="6" t="s">
        <v>97</v>
      </c>
      <c r="G181" s="2" t="s">
        <v>169</v>
      </c>
      <c r="H181" s="2" t="s">
        <v>158</v>
      </c>
      <c r="I181" s="2" t="s">
        <v>119</v>
      </c>
      <c r="J181" s="2">
        <v>0.1</v>
      </c>
      <c r="K181" s="2" t="s">
        <v>639</v>
      </c>
    </row>
    <row r="182" spans="1:11" s="2" customFormat="1" ht="90" x14ac:dyDescent="0.25">
      <c r="A182" s="8" t="s">
        <v>281</v>
      </c>
      <c r="B182" s="2" t="s">
        <v>14</v>
      </c>
      <c r="C182" s="2" t="s">
        <v>315</v>
      </c>
      <c r="D182" s="6" t="s">
        <v>45</v>
      </c>
      <c r="E182" s="6" t="s">
        <v>316</v>
      </c>
      <c r="F182" s="6" t="s">
        <v>101</v>
      </c>
      <c r="G182" s="2" t="s">
        <v>169</v>
      </c>
      <c r="H182" s="2" t="s">
        <v>156</v>
      </c>
      <c r="I182" s="2" t="s">
        <v>119</v>
      </c>
      <c r="J182" s="2" t="s">
        <v>180</v>
      </c>
      <c r="K182" s="2" t="s">
        <v>640</v>
      </c>
    </row>
    <row r="183" spans="1:11" s="2" customFormat="1" ht="75" x14ac:dyDescent="0.25">
      <c r="A183" s="8" t="s">
        <v>281</v>
      </c>
      <c r="B183" s="2" t="s">
        <v>14</v>
      </c>
      <c r="C183" s="2" t="s">
        <v>353</v>
      </c>
      <c r="D183" s="6" t="s">
        <v>395</v>
      </c>
      <c r="E183" s="6" t="s">
        <v>74</v>
      </c>
      <c r="F183" s="6" t="s">
        <v>106</v>
      </c>
      <c r="G183" s="2" t="s">
        <v>169</v>
      </c>
      <c r="H183" s="2" t="s">
        <v>156</v>
      </c>
      <c r="I183" s="2" t="s">
        <v>119</v>
      </c>
      <c r="J183" s="2" t="s">
        <v>180</v>
      </c>
      <c r="K183" s="2" t="s">
        <v>640</v>
      </c>
    </row>
    <row r="184" spans="1:11" s="2" customFormat="1" ht="45" x14ac:dyDescent="0.25">
      <c r="A184" s="8" t="s">
        <v>250</v>
      </c>
      <c r="B184" s="2" t="s">
        <v>11</v>
      </c>
      <c r="C184" s="2" t="s">
        <v>22</v>
      </c>
      <c r="D184" s="6" t="s">
        <v>251</v>
      </c>
      <c r="E184" s="6" t="s">
        <v>252</v>
      </c>
      <c r="F184" s="6" t="s">
        <v>253</v>
      </c>
      <c r="G184" s="2" t="s">
        <v>197</v>
      </c>
      <c r="H184" s="2" t="s">
        <v>156</v>
      </c>
      <c r="I184" s="2" t="s">
        <v>121</v>
      </c>
      <c r="J184" s="2" t="s">
        <v>180</v>
      </c>
      <c r="K184" s="2" t="s">
        <v>640</v>
      </c>
    </row>
    <row r="185" spans="1:11" s="2" customFormat="1" ht="60" x14ac:dyDescent="0.25">
      <c r="A185" s="8" t="s">
        <v>413</v>
      </c>
      <c r="B185" s="2" t="s">
        <v>15</v>
      </c>
      <c r="C185" s="2" t="s">
        <v>26</v>
      </c>
      <c r="D185" s="6" t="s">
        <v>414</v>
      </c>
      <c r="E185" s="6" t="s">
        <v>415</v>
      </c>
      <c r="F185" s="6" t="s">
        <v>416</v>
      </c>
      <c r="G185" s="2" t="s">
        <v>169</v>
      </c>
      <c r="H185" s="2" t="s">
        <v>156</v>
      </c>
      <c r="I185" s="2" t="s">
        <v>403</v>
      </c>
      <c r="J185" s="2" t="s">
        <v>180</v>
      </c>
      <c r="K185" s="2" t="s">
        <v>640</v>
      </c>
    </row>
    <row r="186" spans="1:11" s="2" customFormat="1" ht="60" x14ac:dyDescent="0.25">
      <c r="A186" s="8" t="s">
        <v>152</v>
      </c>
      <c r="B186" s="2" t="s">
        <v>11</v>
      </c>
      <c r="C186" s="2" t="s">
        <v>184</v>
      </c>
      <c r="D186" s="6" t="s">
        <v>191</v>
      </c>
      <c r="E186" s="6" t="s">
        <v>189</v>
      </c>
      <c r="F186" s="6" t="s">
        <v>190</v>
      </c>
      <c r="G186" s="2" t="s">
        <v>169</v>
      </c>
      <c r="H186" s="2" t="s">
        <v>156</v>
      </c>
      <c r="I186" s="2" t="s">
        <v>119</v>
      </c>
      <c r="J186" s="2" t="s">
        <v>180</v>
      </c>
      <c r="K186" s="2" t="s">
        <v>640</v>
      </c>
    </row>
    <row r="187" spans="1:11" s="2" customFormat="1" ht="75" x14ac:dyDescent="0.25">
      <c r="A187" s="8" t="s">
        <v>152</v>
      </c>
      <c r="B187" s="2" t="s">
        <v>11</v>
      </c>
      <c r="C187" s="2" t="s">
        <v>227</v>
      </c>
      <c r="D187" s="6" t="s">
        <v>231</v>
      </c>
      <c r="E187" s="6" t="s">
        <v>63</v>
      </c>
      <c r="F187" s="6" t="s">
        <v>94</v>
      </c>
      <c r="G187" s="2" t="s">
        <v>169</v>
      </c>
      <c r="H187" s="2" t="s">
        <v>156</v>
      </c>
      <c r="I187" s="2" t="s">
        <v>120</v>
      </c>
      <c r="J187" s="2" t="s">
        <v>180</v>
      </c>
      <c r="K187" s="2" t="s">
        <v>639</v>
      </c>
    </row>
    <row r="188" spans="1:11" s="2" customFormat="1" ht="75" x14ac:dyDescent="0.25">
      <c r="A188" s="8" t="s">
        <v>152</v>
      </c>
      <c r="B188" s="2" t="s">
        <v>11</v>
      </c>
      <c r="C188" s="2" t="s">
        <v>20</v>
      </c>
      <c r="D188" s="6" t="s">
        <v>236</v>
      </c>
      <c r="E188" s="6" t="s">
        <v>237</v>
      </c>
      <c r="F188" s="6" t="s">
        <v>238</v>
      </c>
      <c r="G188" s="2" t="s">
        <v>169</v>
      </c>
      <c r="H188" s="2" t="s">
        <v>156</v>
      </c>
      <c r="I188" s="2" t="s">
        <v>239</v>
      </c>
      <c r="J188" s="2" t="s">
        <v>157</v>
      </c>
      <c r="K188" s="2" t="s">
        <v>640</v>
      </c>
    </row>
    <row r="189" spans="1:11" s="2" customFormat="1" ht="60" x14ac:dyDescent="0.25">
      <c r="A189" s="8" t="s">
        <v>152</v>
      </c>
      <c r="B189" s="2" t="s">
        <v>11</v>
      </c>
      <c r="C189" s="2" t="s">
        <v>21</v>
      </c>
      <c r="D189" s="6" t="s">
        <v>240</v>
      </c>
      <c r="E189" s="6" t="s">
        <v>241</v>
      </c>
      <c r="F189" s="6" t="s">
        <v>242</v>
      </c>
      <c r="G189" s="2" t="s">
        <v>169</v>
      </c>
      <c r="H189" s="2" t="s">
        <v>156</v>
      </c>
      <c r="I189" s="2" t="s">
        <v>119</v>
      </c>
      <c r="J189" s="2" t="s">
        <v>180</v>
      </c>
      <c r="K189" s="2" t="s">
        <v>639</v>
      </c>
    </row>
    <row r="190" spans="1:11" s="2" customFormat="1" ht="60" x14ac:dyDescent="0.25">
      <c r="A190" s="8" t="s">
        <v>152</v>
      </c>
      <c r="B190" s="2" t="s">
        <v>11</v>
      </c>
      <c r="C190" s="2" t="s">
        <v>261</v>
      </c>
      <c r="D190" s="6" t="s">
        <v>262</v>
      </c>
      <c r="E190" s="6" t="s">
        <v>64</v>
      </c>
      <c r="F190" s="6" t="s">
        <v>95</v>
      </c>
      <c r="G190" s="2" t="s">
        <v>169</v>
      </c>
      <c r="H190" s="2" t="s">
        <v>156</v>
      </c>
      <c r="I190" s="2" t="s">
        <v>256</v>
      </c>
      <c r="J190" s="2">
        <v>0.1</v>
      </c>
      <c r="K190" s="2" t="s">
        <v>639</v>
      </c>
    </row>
    <row r="191" spans="1:11" s="2" customFormat="1" ht="45" x14ac:dyDescent="0.25">
      <c r="A191" s="8" t="s">
        <v>152</v>
      </c>
      <c r="B191" s="2" t="s">
        <v>11</v>
      </c>
      <c r="C191" s="2" t="s">
        <v>273</v>
      </c>
      <c r="D191" s="6" t="s">
        <v>288</v>
      </c>
      <c r="E191" s="6" t="s">
        <v>275</v>
      </c>
      <c r="F191" s="6" t="s">
        <v>97</v>
      </c>
      <c r="G191" s="2" t="s">
        <v>169</v>
      </c>
      <c r="H191" s="2" t="s">
        <v>158</v>
      </c>
      <c r="I191" s="2" t="s">
        <v>119</v>
      </c>
      <c r="J191" s="2">
        <v>0.1</v>
      </c>
      <c r="K191" s="2" t="s">
        <v>639</v>
      </c>
    </row>
    <row r="192" spans="1:11" s="2" customFormat="1" ht="45" x14ac:dyDescent="0.25">
      <c r="A192" s="8" t="s">
        <v>152</v>
      </c>
      <c r="B192" s="2" t="s">
        <v>14</v>
      </c>
      <c r="C192" s="2" t="s">
        <v>315</v>
      </c>
      <c r="D192" s="6" t="s">
        <v>344</v>
      </c>
      <c r="E192" s="6" t="s">
        <v>342</v>
      </c>
      <c r="F192" s="6" t="s">
        <v>345</v>
      </c>
      <c r="G192" s="2" t="s">
        <v>169</v>
      </c>
      <c r="H192" s="2" t="s">
        <v>156</v>
      </c>
      <c r="I192" s="2" t="s">
        <v>119</v>
      </c>
      <c r="J192" s="2">
        <v>0.1</v>
      </c>
      <c r="K192" s="2" t="s">
        <v>640</v>
      </c>
    </row>
    <row r="193" spans="1:11" s="2" customFormat="1" ht="45" x14ac:dyDescent="0.25">
      <c r="A193" s="8" t="s">
        <v>152</v>
      </c>
      <c r="B193" s="2" t="s">
        <v>14</v>
      </c>
      <c r="C193" s="2" t="s">
        <v>353</v>
      </c>
      <c r="D193" s="6" t="s">
        <v>381</v>
      </c>
      <c r="E193" s="6" t="s">
        <v>382</v>
      </c>
      <c r="F193" s="6" t="s">
        <v>383</v>
      </c>
      <c r="G193" s="2" t="s">
        <v>169</v>
      </c>
      <c r="H193" s="2" t="s">
        <v>156</v>
      </c>
      <c r="I193" s="2" t="s">
        <v>119</v>
      </c>
      <c r="J193" s="2" t="s">
        <v>180</v>
      </c>
      <c r="K193" s="2" t="s">
        <v>640</v>
      </c>
    </row>
    <row r="194" spans="1:11" s="2" customFormat="1" ht="60" x14ac:dyDescent="0.25">
      <c r="A194" s="8" t="s">
        <v>152</v>
      </c>
      <c r="B194" s="2" t="s">
        <v>15</v>
      </c>
      <c r="C194" s="2" t="s">
        <v>26</v>
      </c>
      <c r="D194" s="6" t="s">
        <v>427</v>
      </c>
      <c r="E194" s="6" t="s">
        <v>428</v>
      </c>
      <c r="F194" s="6" t="s">
        <v>429</v>
      </c>
      <c r="G194" s="2" t="s">
        <v>169</v>
      </c>
      <c r="H194" s="2" t="s">
        <v>156</v>
      </c>
      <c r="I194" s="2" t="s">
        <v>403</v>
      </c>
      <c r="J194" s="2" t="s">
        <v>180</v>
      </c>
      <c r="K194" s="2" t="s">
        <v>640</v>
      </c>
    </row>
    <row r="195" spans="1:11" s="2" customFormat="1" ht="60" x14ac:dyDescent="0.25">
      <c r="A195" s="8" t="s">
        <v>152</v>
      </c>
      <c r="B195" s="2" t="s">
        <v>15</v>
      </c>
      <c r="C195" s="2" t="s">
        <v>450</v>
      </c>
      <c r="D195" s="6" t="s">
        <v>451</v>
      </c>
      <c r="E195" s="6" t="s">
        <v>452</v>
      </c>
      <c r="F195" s="6" t="s">
        <v>453</v>
      </c>
      <c r="G195" s="2" t="s">
        <v>197</v>
      </c>
      <c r="H195" s="2" t="s">
        <v>156</v>
      </c>
      <c r="I195" s="19">
        <v>1</v>
      </c>
      <c r="J195" s="2" t="s">
        <v>180</v>
      </c>
      <c r="K195" s="2" t="s">
        <v>640</v>
      </c>
    </row>
    <row r="196" spans="1:11" s="2" customFormat="1" ht="60" x14ac:dyDescent="0.25">
      <c r="A196" s="8" t="s">
        <v>152</v>
      </c>
      <c r="B196" s="2" t="s">
        <v>15</v>
      </c>
      <c r="C196" s="2" t="s">
        <v>467</v>
      </c>
      <c r="D196" s="6" t="s">
        <v>501</v>
      </c>
      <c r="E196" s="6" t="s">
        <v>502</v>
      </c>
      <c r="F196" s="6" t="s">
        <v>503</v>
      </c>
      <c r="G196" s="2" t="s">
        <v>169</v>
      </c>
      <c r="H196" s="2" t="s">
        <v>156</v>
      </c>
      <c r="I196" s="2" t="s">
        <v>119</v>
      </c>
      <c r="J196" s="2" t="s">
        <v>180</v>
      </c>
      <c r="K196" s="2" t="s">
        <v>640</v>
      </c>
    </row>
    <row r="197" spans="1:11" s="2" customFormat="1" ht="75" x14ac:dyDescent="0.25">
      <c r="A197" s="8" t="s">
        <v>152</v>
      </c>
      <c r="B197" s="2" t="s">
        <v>15</v>
      </c>
      <c r="C197" s="2" t="s">
        <v>31</v>
      </c>
      <c r="D197" s="6" t="s">
        <v>526</v>
      </c>
      <c r="E197" s="6" t="s">
        <v>527</v>
      </c>
      <c r="F197" s="6" t="s">
        <v>528</v>
      </c>
      <c r="G197" s="2" t="s">
        <v>169</v>
      </c>
      <c r="H197" s="2" t="s">
        <v>156</v>
      </c>
      <c r="I197" s="2" t="s">
        <v>119</v>
      </c>
      <c r="J197" s="2" t="s">
        <v>157</v>
      </c>
      <c r="K197" s="2" t="s">
        <v>640</v>
      </c>
    </row>
    <row r="198" spans="1:11" s="2" customFormat="1" ht="60" x14ac:dyDescent="0.25">
      <c r="A198" s="8" t="s">
        <v>152</v>
      </c>
      <c r="B198" s="2" t="s">
        <v>15</v>
      </c>
      <c r="C198" s="2" t="s">
        <v>32</v>
      </c>
      <c r="D198" s="6" t="s">
        <v>550</v>
      </c>
      <c r="E198" s="6" t="s">
        <v>551</v>
      </c>
      <c r="F198" s="6" t="s">
        <v>552</v>
      </c>
      <c r="G198" s="2" t="s">
        <v>169</v>
      </c>
      <c r="H198" s="2" t="s">
        <v>156</v>
      </c>
      <c r="I198" s="2" t="s">
        <v>119</v>
      </c>
      <c r="J198" s="2" t="s">
        <v>180</v>
      </c>
      <c r="K198" s="2" t="s">
        <v>639</v>
      </c>
    </row>
    <row r="199" spans="1:11" s="2" customFormat="1" ht="60" x14ac:dyDescent="0.25">
      <c r="A199" s="8" t="s">
        <v>152</v>
      </c>
      <c r="B199" s="2" t="s">
        <v>15</v>
      </c>
      <c r="C199" s="2" t="s">
        <v>559</v>
      </c>
      <c r="D199" s="6" t="s">
        <v>575</v>
      </c>
      <c r="E199" s="6" t="s">
        <v>576</v>
      </c>
      <c r="F199" s="6" t="s">
        <v>577</v>
      </c>
      <c r="G199" s="2" t="s">
        <v>169</v>
      </c>
      <c r="H199" s="2" t="s">
        <v>158</v>
      </c>
      <c r="I199" s="2" t="s">
        <v>119</v>
      </c>
      <c r="J199" s="2">
        <v>0.1</v>
      </c>
      <c r="K199" s="2" t="s">
        <v>640</v>
      </c>
    </row>
    <row r="200" spans="1:11" s="2" customFormat="1" ht="75" x14ac:dyDescent="0.25">
      <c r="A200" s="8" t="s">
        <v>152</v>
      </c>
      <c r="B200" s="2" t="s">
        <v>15</v>
      </c>
      <c r="C200" s="2" t="s">
        <v>34</v>
      </c>
      <c r="D200" s="6" t="s">
        <v>604</v>
      </c>
      <c r="E200" s="6" t="s">
        <v>605</v>
      </c>
      <c r="F200" s="6" t="s">
        <v>606</v>
      </c>
      <c r="G200" s="2" t="s">
        <v>169</v>
      </c>
      <c r="H200" s="2" t="s">
        <v>158</v>
      </c>
      <c r="I200" s="2" t="s">
        <v>124</v>
      </c>
      <c r="J200" s="2">
        <v>0.05</v>
      </c>
      <c r="K200" s="2" t="s">
        <v>640</v>
      </c>
    </row>
    <row r="201" spans="1:11" s="2" customFormat="1" ht="45" x14ac:dyDescent="0.25">
      <c r="A201" s="8" t="s">
        <v>152</v>
      </c>
      <c r="B201" s="2" t="s">
        <v>9</v>
      </c>
      <c r="C201" s="2" t="s">
        <v>16</v>
      </c>
      <c r="D201" s="6" t="s">
        <v>621</v>
      </c>
      <c r="E201" s="6" t="s">
        <v>622</v>
      </c>
      <c r="F201" s="6" t="s">
        <v>87</v>
      </c>
      <c r="G201" s="2" t="s">
        <v>197</v>
      </c>
      <c r="H201" s="2" t="s">
        <v>156</v>
      </c>
      <c r="I201" s="2" t="s">
        <v>122</v>
      </c>
      <c r="J201" s="2" t="s">
        <v>157</v>
      </c>
      <c r="K201" s="2" t="s">
        <v>639</v>
      </c>
    </row>
    <row r="202" spans="1:11" s="2" customFormat="1" ht="63" x14ac:dyDescent="0.25">
      <c r="A202" s="8" t="s">
        <v>455</v>
      </c>
      <c r="B202" s="2" t="s">
        <v>15</v>
      </c>
      <c r="C202" s="2" t="s">
        <v>454</v>
      </c>
      <c r="D202" s="6" t="s">
        <v>456</v>
      </c>
      <c r="E202" s="6" t="s">
        <v>457</v>
      </c>
      <c r="F202" s="6" t="s">
        <v>458</v>
      </c>
      <c r="G202" s="2" t="s">
        <v>169</v>
      </c>
      <c r="H202" s="2" t="s">
        <v>156</v>
      </c>
      <c r="I202" s="19">
        <v>1</v>
      </c>
      <c r="J202" s="2" t="s">
        <v>180</v>
      </c>
      <c r="K202" s="2" t="s">
        <v>640</v>
      </c>
    </row>
    <row r="203" spans="1:11" s="2" customFormat="1" ht="75" x14ac:dyDescent="0.25">
      <c r="A203" s="8" t="s">
        <v>455</v>
      </c>
      <c r="B203" s="2" t="s">
        <v>15</v>
      </c>
      <c r="C203" s="2" t="s">
        <v>459</v>
      </c>
      <c r="D203" s="6" t="s">
        <v>52</v>
      </c>
      <c r="E203" s="6" t="s">
        <v>78</v>
      </c>
      <c r="F203" s="6" t="s">
        <v>111</v>
      </c>
      <c r="G203" s="2" t="s">
        <v>169</v>
      </c>
      <c r="H203" s="2" t="s">
        <v>158</v>
      </c>
      <c r="I203" s="2" t="s">
        <v>460</v>
      </c>
      <c r="J203" s="2">
        <v>0.1</v>
      </c>
      <c r="K203" s="2" t="s">
        <v>640</v>
      </c>
    </row>
    <row r="204" spans="1:11" s="2" customFormat="1" ht="60" x14ac:dyDescent="0.25">
      <c r="A204" s="8" t="s">
        <v>151</v>
      </c>
      <c r="B204" s="2" t="s">
        <v>11</v>
      </c>
      <c r="C204" s="2" t="s">
        <v>184</v>
      </c>
      <c r="D204" s="6" t="s">
        <v>42</v>
      </c>
      <c r="E204" s="6" t="s">
        <v>189</v>
      </c>
      <c r="F204" s="6" t="s">
        <v>190</v>
      </c>
      <c r="G204" s="2" t="s">
        <v>169</v>
      </c>
      <c r="H204" s="2" t="s">
        <v>156</v>
      </c>
      <c r="I204" s="2" t="s">
        <v>119</v>
      </c>
      <c r="J204" s="2" t="s">
        <v>180</v>
      </c>
      <c r="K204" s="2" t="s">
        <v>640</v>
      </c>
    </row>
    <row r="205" spans="1:11" s="2" customFormat="1" ht="75" x14ac:dyDescent="0.25">
      <c r="A205" s="8" t="s">
        <v>151</v>
      </c>
      <c r="B205" s="2" t="s">
        <v>11</v>
      </c>
      <c r="C205" s="2" t="s">
        <v>227</v>
      </c>
      <c r="D205" s="6" t="s">
        <v>231</v>
      </c>
      <c r="E205" s="6" t="s">
        <v>63</v>
      </c>
      <c r="F205" s="6" t="s">
        <v>94</v>
      </c>
      <c r="G205" s="2" t="s">
        <v>169</v>
      </c>
      <c r="H205" s="2" t="s">
        <v>156</v>
      </c>
      <c r="I205" s="2" t="s">
        <v>120</v>
      </c>
      <c r="J205" s="2" t="s">
        <v>180</v>
      </c>
      <c r="K205" s="2" t="s">
        <v>639</v>
      </c>
    </row>
    <row r="206" spans="1:11" s="2" customFormat="1" ht="75" x14ac:dyDescent="0.25">
      <c r="A206" s="8" t="s">
        <v>151</v>
      </c>
      <c r="B206" s="2" t="s">
        <v>11</v>
      </c>
      <c r="C206" s="2" t="s">
        <v>20</v>
      </c>
      <c r="D206" s="6" t="s">
        <v>236</v>
      </c>
      <c r="E206" s="6" t="s">
        <v>237</v>
      </c>
      <c r="F206" s="6" t="s">
        <v>238</v>
      </c>
      <c r="G206" s="2" t="s">
        <v>169</v>
      </c>
      <c r="H206" s="2" t="s">
        <v>156</v>
      </c>
      <c r="I206" s="2" t="s">
        <v>239</v>
      </c>
      <c r="J206" s="2" t="s">
        <v>157</v>
      </c>
      <c r="K206" s="2" t="s">
        <v>640</v>
      </c>
    </row>
    <row r="207" spans="1:11" s="2" customFormat="1" ht="60" x14ac:dyDescent="0.25">
      <c r="A207" s="8" t="s">
        <v>151</v>
      </c>
      <c r="B207" s="2" t="s">
        <v>11</v>
      </c>
      <c r="C207" s="2" t="s">
        <v>21</v>
      </c>
      <c r="D207" s="6" t="s">
        <v>247</v>
      </c>
      <c r="E207" s="6" t="s">
        <v>246</v>
      </c>
      <c r="F207" s="6" t="s">
        <v>242</v>
      </c>
      <c r="G207" s="2" t="s">
        <v>197</v>
      </c>
      <c r="H207" s="2" t="s">
        <v>156</v>
      </c>
      <c r="I207" s="2" t="s">
        <v>119</v>
      </c>
      <c r="J207" s="2" t="s">
        <v>180</v>
      </c>
      <c r="K207" s="2" t="s">
        <v>639</v>
      </c>
    </row>
    <row r="208" spans="1:11" s="2" customFormat="1" ht="75" x14ac:dyDescent="0.25">
      <c r="A208" s="8" t="s">
        <v>151</v>
      </c>
      <c r="B208" s="2" t="s">
        <v>11</v>
      </c>
      <c r="C208" s="2" t="s">
        <v>261</v>
      </c>
      <c r="D208" s="6" t="s">
        <v>263</v>
      </c>
      <c r="E208" s="6" t="s">
        <v>65</v>
      </c>
      <c r="F208" s="6" t="s">
        <v>264</v>
      </c>
      <c r="G208" s="2" t="s">
        <v>169</v>
      </c>
      <c r="H208" s="2" t="s">
        <v>156</v>
      </c>
      <c r="I208" s="2" t="s">
        <v>256</v>
      </c>
      <c r="J208" s="2" t="s">
        <v>180</v>
      </c>
      <c r="K208" s="2" t="s">
        <v>639</v>
      </c>
    </row>
    <row r="209" spans="1:11" s="2" customFormat="1" ht="60" x14ac:dyDescent="0.25">
      <c r="A209" s="8" t="s">
        <v>151</v>
      </c>
      <c r="B209" s="2" t="s">
        <v>14</v>
      </c>
      <c r="C209" s="2" t="s">
        <v>315</v>
      </c>
      <c r="D209" s="6" t="s">
        <v>339</v>
      </c>
      <c r="E209" s="6" t="s">
        <v>340</v>
      </c>
      <c r="F209" s="6" t="s">
        <v>100</v>
      </c>
      <c r="G209" s="2" t="s">
        <v>169</v>
      </c>
      <c r="H209" s="2" t="s">
        <v>158</v>
      </c>
      <c r="I209" s="2" t="s">
        <v>119</v>
      </c>
      <c r="J209" s="2">
        <v>0.1</v>
      </c>
      <c r="K209" s="2" t="s">
        <v>640</v>
      </c>
    </row>
    <row r="210" spans="1:11" s="2" customFormat="1" ht="60" x14ac:dyDescent="0.25">
      <c r="A210" s="8" t="s">
        <v>151</v>
      </c>
      <c r="B210" s="2" t="s">
        <v>15</v>
      </c>
      <c r="C210" s="2" t="s">
        <v>26</v>
      </c>
      <c r="D210" s="6" t="s">
        <v>421</v>
      </c>
      <c r="E210" s="6" t="s">
        <v>422</v>
      </c>
      <c r="F210" s="6" t="s">
        <v>423</v>
      </c>
      <c r="G210" s="2" t="s">
        <v>169</v>
      </c>
      <c r="H210" s="2" t="s">
        <v>156</v>
      </c>
      <c r="I210" s="2" t="s">
        <v>403</v>
      </c>
      <c r="J210" s="2" t="s">
        <v>180</v>
      </c>
      <c r="K210" s="2" t="s">
        <v>640</v>
      </c>
    </row>
    <row r="211" spans="1:11" s="2" customFormat="1" ht="60" x14ac:dyDescent="0.25">
      <c r="A211" s="8" t="s">
        <v>151</v>
      </c>
      <c r="B211" s="2" t="s">
        <v>15</v>
      </c>
      <c r="C211" s="2" t="s">
        <v>450</v>
      </c>
      <c r="D211" s="6" t="s">
        <v>451</v>
      </c>
      <c r="E211" s="6" t="s">
        <v>452</v>
      </c>
      <c r="F211" s="6" t="s">
        <v>453</v>
      </c>
      <c r="G211" s="2" t="s">
        <v>197</v>
      </c>
      <c r="H211" s="2" t="s">
        <v>156</v>
      </c>
      <c r="I211" s="19">
        <v>1</v>
      </c>
      <c r="J211" s="2" t="s">
        <v>180</v>
      </c>
      <c r="K211" s="2" t="s">
        <v>640</v>
      </c>
    </row>
    <row r="212" spans="1:11" s="2" customFormat="1" ht="60" x14ac:dyDescent="0.25">
      <c r="A212" s="8" t="s">
        <v>151</v>
      </c>
      <c r="B212" s="2" t="s">
        <v>15</v>
      </c>
      <c r="C212" s="2" t="s">
        <v>467</v>
      </c>
      <c r="D212" s="6" t="s">
        <v>489</v>
      </c>
      <c r="E212" s="6" t="s">
        <v>490</v>
      </c>
      <c r="F212" s="6" t="s">
        <v>491</v>
      </c>
      <c r="G212" s="2" t="s">
        <v>169</v>
      </c>
      <c r="H212" s="2" t="s">
        <v>156</v>
      </c>
      <c r="I212" s="2" t="s">
        <v>119</v>
      </c>
      <c r="J212" s="2" t="s">
        <v>180</v>
      </c>
      <c r="K212" s="2" t="s">
        <v>640</v>
      </c>
    </row>
    <row r="213" spans="1:11" s="2" customFormat="1" ht="60" x14ac:dyDescent="0.25">
      <c r="A213" s="8" t="s">
        <v>151</v>
      </c>
      <c r="B213" s="2" t="s">
        <v>15</v>
      </c>
      <c r="C213" s="2" t="s">
        <v>32</v>
      </c>
      <c r="D213" s="6" t="s">
        <v>532</v>
      </c>
      <c r="E213" s="6" t="s">
        <v>545</v>
      </c>
      <c r="F213" s="6" t="s">
        <v>546</v>
      </c>
      <c r="G213" s="2" t="s">
        <v>169</v>
      </c>
      <c r="H213" s="2" t="s">
        <v>156</v>
      </c>
      <c r="I213" s="2" t="s">
        <v>119</v>
      </c>
      <c r="J213" s="2" t="s">
        <v>180</v>
      </c>
      <c r="K213" s="2" t="s">
        <v>639</v>
      </c>
    </row>
    <row r="214" spans="1:11" s="2" customFormat="1" ht="60" x14ac:dyDescent="0.25">
      <c r="A214" s="8" t="s">
        <v>151</v>
      </c>
      <c r="B214" s="2" t="s">
        <v>15</v>
      </c>
      <c r="C214" s="2" t="s">
        <v>559</v>
      </c>
      <c r="D214" s="6" t="s">
        <v>569</v>
      </c>
      <c r="E214" s="6" t="s">
        <v>570</v>
      </c>
      <c r="F214" s="6" t="s">
        <v>571</v>
      </c>
      <c r="G214" s="2" t="s">
        <v>169</v>
      </c>
      <c r="H214" s="2" t="s">
        <v>158</v>
      </c>
      <c r="I214" s="2" t="s">
        <v>119</v>
      </c>
      <c r="J214" s="2">
        <v>0.1</v>
      </c>
      <c r="K214" s="2" t="s">
        <v>640</v>
      </c>
    </row>
    <row r="215" spans="1:11" s="2" customFormat="1" ht="90" x14ac:dyDescent="0.25">
      <c r="A215" s="8" t="s">
        <v>151</v>
      </c>
      <c r="B215" s="2" t="s">
        <v>15</v>
      </c>
      <c r="C215" s="2" t="s">
        <v>34</v>
      </c>
      <c r="D215" s="6" t="s">
        <v>598</v>
      </c>
      <c r="E215" s="6" t="s">
        <v>599</v>
      </c>
      <c r="F215" s="6" t="s">
        <v>600</v>
      </c>
      <c r="G215" s="2" t="s">
        <v>169</v>
      </c>
      <c r="H215" s="2" t="s">
        <v>158</v>
      </c>
      <c r="I215" s="2" t="s">
        <v>124</v>
      </c>
      <c r="J215" s="2">
        <v>0.05</v>
      </c>
      <c r="K215" s="2" t="s">
        <v>640</v>
      </c>
    </row>
    <row r="216" spans="1:11" s="2" customFormat="1" ht="45" x14ac:dyDescent="0.25">
      <c r="A216" s="8" t="s">
        <v>151</v>
      </c>
      <c r="B216" s="2" t="s">
        <v>9</v>
      </c>
      <c r="C216" s="2" t="s">
        <v>16</v>
      </c>
      <c r="D216" s="6" t="s">
        <v>621</v>
      </c>
      <c r="E216" s="6" t="s">
        <v>622</v>
      </c>
      <c r="F216" s="6" t="s">
        <v>87</v>
      </c>
      <c r="G216" s="2" t="s">
        <v>197</v>
      </c>
      <c r="H216" s="2" t="s">
        <v>156</v>
      </c>
      <c r="I216" s="2" t="s">
        <v>122</v>
      </c>
      <c r="J216" s="2" t="s">
        <v>157</v>
      </c>
      <c r="K216" s="2" t="s">
        <v>639</v>
      </c>
    </row>
    <row r="217" spans="1:11" s="2" customFormat="1" ht="60" x14ac:dyDescent="0.25">
      <c r="A217" s="8" t="s">
        <v>129</v>
      </c>
      <c r="B217" s="2" t="s">
        <v>11</v>
      </c>
      <c r="C217" s="2" t="s">
        <v>184</v>
      </c>
      <c r="D217" s="6" t="s">
        <v>41</v>
      </c>
      <c r="E217" s="6" t="s">
        <v>62</v>
      </c>
      <c r="F217" s="6" t="s">
        <v>192</v>
      </c>
      <c r="G217" s="2" t="s">
        <v>169</v>
      </c>
      <c r="H217" s="2" t="s">
        <v>156</v>
      </c>
      <c r="I217" s="2" t="s">
        <v>119</v>
      </c>
      <c r="J217" s="2" t="s">
        <v>180</v>
      </c>
      <c r="K217" s="2" t="s">
        <v>640</v>
      </c>
    </row>
    <row r="218" spans="1:11" s="2" customFormat="1" ht="75" x14ac:dyDescent="0.25">
      <c r="A218" s="8" t="s">
        <v>129</v>
      </c>
      <c r="B218" s="2" t="s">
        <v>11</v>
      </c>
      <c r="C218" s="2" t="s">
        <v>227</v>
      </c>
      <c r="D218" s="6" t="s">
        <v>231</v>
      </c>
      <c r="E218" s="6" t="s">
        <v>63</v>
      </c>
      <c r="F218" s="6" t="s">
        <v>94</v>
      </c>
      <c r="G218" s="2" t="s">
        <v>169</v>
      </c>
      <c r="H218" s="2" t="s">
        <v>156</v>
      </c>
      <c r="I218" s="2" t="s">
        <v>120</v>
      </c>
      <c r="J218" s="2" t="s">
        <v>180</v>
      </c>
      <c r="K218" s="2" t="s">
        <v>639</v>
      </c>
    </row>
    <row r="219" spans="1:11" s="2" customFormat="1" ht="75" x14ac:dyDescent="0.25">
      <c r="A219" s="8" t="s">
        <v>129</v>
      </c>
      <c r="B219" s="2" t="s">
        <v>11</v>
      </c>
      <c r="C219" s="2" t="s">
        <v>20</v>
      </c>
      <c r="D219" s="6" t="s">
        <v>236</v>
      </c>
      <c r="E219" s="6" t="s">
        <v>237</v>
      </c>
      <c r="F219" s="6" t="s">
        <v>238</v>
      </c>
      <c r="G219" s="2" t="s">
        <v>169</v>
      </c>
      <c r="H219" s="2" t="s">
        <v>156</v>
      </c>
      <c r="I219" s="2" t="s">
        <v>239</v>
      </c>
      <c r="J219" s="2" t="s">
        <v>180</v>
      </c>
      <c r="K219" s="2" t="s">
        <v>640</v>
      </c>
    </row>
    <row r="220" spans="1:11" s="2" customFormat="1" ht="60" x14ac:dyDescent="0.25">
      <c r="A220" s="8" t="s">
        <v>129</v>
      </c>
      <c r="B220" s="2" t="s">
        <v>11</v>
      </c>
      <c r="C220" s="2" t="s">
        <v>21</v>
      </c>
      <c r="D220" s="6" t="s">
        <v>247</v>
      </c>
      <c r="E220" s="6" t="s">
        <v>246</v>
      </c>
      <c r="F220" s="6" t="s">
        <v>242</v>
      </c>
      <c r="G220" s="2" t="s">
        <v>197</v>
      </c>
      <c r="H220" s="2" t="s">
        <v>156</v>
      </c>
      <c r="I220" s="2" t="s">
        <v>119</v>
      </c>
      <c r="J220" s="2" t="s">
        <v>180</v>
      </c>
      <c r="K220" s="2" t="s">
        <v>639</v>
      </c>
    </row>
    <row r="221" spans="1:11" s="2" customFormat="1" ht="75" x14ac:dyDescent="0.25">
      <c r="A221" s="8" t="s">
        <v>129</v>
      </c>
      <c r="B221" s="2" t="s">
        <v>11</v>
      </c>
      <c r="C221" s="2" t="s">
        <v>261</v>
      </c>
      <c r="D221" s="6" t="s">
        <v>263</v>
      </c>
      <c r="E221" s="6" t="s">
        <v>65</v>
      </c>
      <c r="F221" s="6" t="s">
        <v>265</v>
      </c>
      <c r="G221" s="2" t="s">
        <v>169</v>
      </c>
      <c r="H221" s="2" t="s">
        <v>156</v>
      </c>
      <c r="I221" s="2" t="s">
        <v>256</v>
      </c>
      <c r="J221" s="2" t="s">
        <v>180</v>
      </c>
      <c r="K221" s="2" t="s">
        <v>639</v>
      </c>
    </row>
    <row r="222" spans="1:11" s="2" customFormat="1" ht="60" x14ac:dyDescent="0.25">
      <c r="A222" s="8" t="s">
        <v>129</v>
      </c>
      <c r="B222" s="2" t="s">
        <v>14</v>
      </c>
      <c r="C222" s="2" t="s">
        <v>315</v>
      </c>
      <c r="D222" s="6" t="s">
        <v>341</v>
      </c>
      <c r="E222" s="6" t="s">
        <v>342</v>
      </c>
      <c r="F222" s="6" t="s">
        <v>343</v>
      </c>
      <c r="G222" s="2" t="s">
        <v>169</v>
      </c>
      <c r="H222" s="2" t="s">
        <v>202</v>
      </c>
      <c r="I222" s="2" t="s">
        <v>119</v>
      </c>
      <c r="J222" s="2">
        <v>0.1</v>
      </c>
      <c r="K222" s="2" t="s">
        <v>640</v>
      </c>
    </row>
    <row r="223" spans="1:11" s="2" customFormat="1" ht="60" x14ac:dyDescent="0.25">
      <c r="A223" s="8" t="s">
        <v>129</v>
      </c>
      <c r="B223" s="2" t="s">
        <v>15</v>
      </c>
      <c r="C223" s="2" t="s">
        <v>26</v>
      </c>
      <c r="D223" s="6" t="s">
        <v>424</v>
      </c>
      <c r="E223" s="6" t="s">
        <v>425</v>
      </c>
      <c r="F223" s="6" t="s">
        <v>426</v>
      </c>
      <c r="G223" s="2" t="s">
        <v>169</v>
      </c>
      <c r="H223" s="2" t="s">
        <v>156</v>
      </c>
      <c r="I223" s="2" t="s">
        <v>403</v>
      </c>
      <c r="J223" s="2" t="s">
        <v>180</v>
      </c>
      <c r="K223" s="2" t="s">
        <v>640</v>
      </c>
    </row>
    <row r="224" spans="1:11" s="2" customFormat="1" ht="60" x14ac:dyDescent="0.25">
      <c r="A224" s="8" t="s">
        <v>129</v>
      </c>
      <c r="B224" s="2" t="s">
        <v>15</v>
      </c>
      <c r="C224" s="2" t="s">
        <v>450</v>
      </c>
      <c r="D224" s="6" t="s">
        <v>451</v>
      </c>
      <c r="E224" s="6" t="s">
        <v>452</v>
      </c>
      <c r="F224" s="6" t="s">
        <v>453</v>
      </c>
      <c r="G224" s="2" t="s">
        <v>197</v>
      </c>
      <c r="H224" s="2" t="s">
        <v>156</v>
      </c>
      <c r="I224" s="19">
        <v>1</v>
      </c>
      <c r="J224" s="2" t="s">
        <v>180</v>
      </c>
      <c r="K224" s="2" t="s">
        <v>640</v>
      </c>
    </row>
    <row r="225" spans="1:11" s="2" customFormat="1" ht="60" x14ac:dyDescent="0.25">
      <c r="A225" s="8" t="s">
        <v>129</v>
      </c>
      <c r="B225" s="2" t="s">
        <v>15</v>
      </c>
      <c r="C225" s="2" t="s">
        <v>467</v>
      </c>
      <c r="D225" s="6" t="s">
        <v>492</v>
      </c>
      <c r="E225" s="6" t="s">
        <v>493</v>
      </c>
      <c r="F225" s="6" t="s">
        <v>494</v>
      </c>
      <c r="G225" s="2" t="s">
        <v>169</v>
      </c>
      <c r="H225" s="2" t="s">
        <v>156</v>
      </c>
      <c r="I225" s="2" t="s">
        <v>119</v>
      </c>
      <c r="J225" s="2" t="s">
        <v>180</v>
      </c>
      <c r="K225" s="2" t="s">
        <v>640</v>
      </c>
    </row>
    <row r="226" spans="1:11" s="2" customFormat="1" ht="60" x14ac:dyDescent="0.25">
      <c r="A226" s="8" t="s">
        <v>129</v>
      </c>
      <c r="B226" s="2" t="s">
        <v>15</v>
      </c>
      <c r="C226" s="2" t="s">
        <v>32</v>
      </c>
      <c r="D226" s="6" t="s">
        <v>532</v>
      </c>
      <c r="E226" s="6" t="s">
        <v>545</v>
      </c>
      <c r="F226" s="6" t="s">
        <v>546</v>
      </c>
      <c r="G226" s="2" t="s">
        <v>169</v>
      </c>
      <c r="H226" s="2" t="s">
        <v>156</v>
      </c>
      <c r="I226" s="2" t="s">
        <v>119</v>
      </c>
      <c r="J226" s="2" t="s">
        <v>180</v>
      </c>
      <c r="K226" s="2" t="s">
        <v>639</v>
      </c>
    </row>
    <row r="227" spans="1:11" s="2" customFormat="1" ht="60" x14ac:dyDescent="0.25">
      <c r="A227" s="8" t="s">
        <v>129</v>
      </c>
      <c r="B227" s="2" t="s">
        <v>15</v>
      </c>
      <c r="C227" s="2" t="s">
        <v>559</v>
      </c>
      <c r="D227" s="6" t="s">
        <v>572</v>
      </c>
      <c r="E227" s="6" t="s">
        <v>573</v>
      </c>
      <c r="F227" s="6" t="s">
        <v>574</v>
      </c>
      <c r="G227" s="2" t="s">
        <v>169</v>
      </c>
      <c r="H227" s="2" t="s">
        <v>158</v>
      </c>
      <c r="I227" s="2" t="s">
        <v>119</v>
      </c>
      <c r="J227" s="2">
        <v>0.1</v>
      </c>
      <c r="K227" s="2" t="s">
        <v>640</v>
      </c>
    </row>
    <row r="228" spans="1:11" s="2" customFormat="1" ht="75" x14ac:dyDescent="0.25">
      <c r="A228" s="8" t="s">
        <v>129</v>
      </c>
      <c r="B228" s="2" t="s">
        <v>15</v>
      </c>
      <c r="C228" s="2" t="s">
        <v>34</v>
      </c>
      <c r="D228" s="6" t="s">
        <v>601</v>
      </c>
      <c r="E228" s="6" t="s">
        <v>602</v>
      </c>
      <c r="F228" s="6" t="s">
        <v>603</v>
      </c>
      <c r="G228" s="2" t="s">
        <v>169</v>
      </c>
      <c r="H228" s="2" t="s">
        <v>156</v>
      </c>
      <c r="I228" s="2" t="s">
        <v>124</v>
      </c>
      <c r="J228" s="2">
        <v>0.05</v>
      </c>
      <c r="K228" s="2" t="s">
        <v>640</v>
      </c>
    </row>
    <row r="229" spans="1:11" s="2" customFormat="1" ht="45" x14ac:dyDescent="0.25">
      <c r="A229" s="8" t="s">
        <v>129</v>
      </c>
      <c r="B229" s="2" t="s">
        <v>9</v>
      </c>
      <c r="C229" s="2" t="s">
        <v>16</v>
      </c>
      <c r="D229" s="6" t="s">
        <v>621</v>
      </c>
      <c r="E229" s="6" t="s">
        <v>622</v>
      </c>
      <c r="F229" s="6" t="s">
        <v>87</v>
      </c>
      <c r="G229" s="2" t="s">
        <v>197</v>
      </c>
      <c r="H229" s="2" t="s">
        <v>156</v>
      </c>
      <c r="I229" s="2" t="s">
        <v>122</v>
      </c>
      <c r="J229" s="2" t="s">
        <v>157</v>
      </c>
      <c r="K229" s="2" t="s">
        <v>639</v>
      </c>
    </row>
    <row r="230" spans="1:11" s="2" customFormat="1" ht="60" x14ac:dyDescent="0.25">
      <c r="A230" s="8" t="s">
        <v>130</v>
      </c>
      <c r="B230" s="2" t="s">
        <v>11</v>
      </c>
      <c r="C230" s="2" t="s">
        <v>184</v>
      </c>
      <c r="D230" s="6" t="s">
        <v>193</v>
      </c>
      <c r="E230" s="6" t="s">
        <v>196</v>
      </c>
      <c r="F230" s="6" t="s">
        <v>195</v>
      </c>
      <c r="G230" s="2" t="s">
        <v>197</v>
      </c>
      <c r="H230" s="2" t="s">
        <v>156</v>
      </c>
      <c r="I230" s="2" t="s">
        <v>119</v>
      </c>
      <c r="J230" s="2" t="s">
        <v>180</v>
      </c>
      <c r="K230" s="2" t="s">
        <v>640</v>
      </c>
    </row>
    <row r="231" spans="1:11" s="2" customFormat="1" ht="60" x14ac:dyDescent="0.25">
      <c r="A231" s="8" t="s">
        <v>130</v>
      </c>
      <c r="B231" s="2" t="s">
        <v>11</v>
      </c>
      <c r="C231" s="2" t="s">
        <v>21</v>
      </c>
      <c r="D231" s="6" t="s">
        <v>247</v>
      </c>
      <c r="E231" s="6" t="s">
        <v>246</v>
      </c>
      <c r="F231" s="6" t="s">
        <v>242</v>
      </c>
      <c r="G231" s="2" t="s">
        <v>197</v>
      </c>
      <c r="H231" s="2" t="s">
        <v>156</v>
      </c>
      <c r="I231" s="2" t="s">
        <v>119</v>
      </c>
      <c r="J231" s="2" t="s">
        <v>180</v>
      </c>
      <c r="K231" s="2" t="s">
        <v>639</v>
      </c>
    </row>
    <row r="232" spans="1:11" s="2" customFormat="1" ht="60" x14ac:dyDescent="0.25">
      <c r="A232" s="8" t="s">
        <v>130</v>
      </c>
      <c r="B232" s="2" t="s">
        <v>15</v>
      </c>
      <c r="C232" s="2" t="s">
        <v>26</v>
      </c>
      <c r="D232" s="6" t="s">
        <v>417</v>
      </c>
      <c r="E232" s="6" t="s">
        <v>418</v>
      </c>
      <c r="F232" s="6" t="s">
        <v>419</v>
      </c>
      <c r="G232" s="2" t="s">
        <v>169</v>
      </c>
      <c r="H232" s="2" t="s">
        <v>156</v>
      </c>
      <c r="I232" s="2" t="s">
        <v>420</v>
      </c>
      <c r="J232" s="2" t="s">
        <v>180</v>
      </c>
      <c r="K232" s="2" t="s">
        <v>640</v>
      </c>
    </row>
    <row r="233" spans="1:11" s="2" customFormat="1" ht="60" x14ac:dyDescent="0.25">
      <c r="A233" s="8" t="s">
        <v>130</v>
      </c>
      <c r="B233" s="2" t="s">
        <v>15</v>
      </c>
      <c r="C233" s="2" t="s">
        <v>450</v>
      </c>
      <c r="D233" s="6" t="s">
        <v>451</v>
      </c>
      <c r="E233" s="6" t="s">
        <v>452</v>
      </c>
      <c r="F233" s="6" t="s">
        <v>453</v>
      </c>
      <c r="G233" s="2" t="s">
        <v>197</v>
      </c>
      <c r="H233" s="2" t="s">
        <v>156</v>
      </c>
      <c r="I233" s="19">
        <v>1</v>
      </c>
      <c r="J233" s="2" t="s">
        <v>180</v>
      </c>
      <c r="K233" s="2" t="s">
        <v>640</v>
      </c>
    </row>
    <row r="234" spans="1:11" s="2" customFormat="1" ht="60" x14ac:dyDescent="0.25">
      <c r="A234" s="8" t="s">
        <v>130</v>
      </c>
      <c r="B234" s="2" t="s">
        <v>15</v>
      </c>
      <c r="C234" s="2" t="s">
        <v>467</v>
      </c>
      <c r="D234" s="6" t="s">
        <v>495</v>
      </c>
      <c r="E234" s="6" t="s">
        <v>496</v>
      </c>
      <c r="F234" s="6" t="s">
        <v>497</v>
      </c>
      <c r="G234" s="2" t="s">
        <v>169</v>
      </c>
      <c r="H234" s="2" t="s">
        <v>156</v>
      </c>
      <c r="I234" s="2" t="s">
        <v>119</v>
      </c>
      <c r="J234" s="2" t="s">
        <v>180</v>
      </c>
      <c r="K234" s="2" t="s">
        <v>640</v>
      </c>
    </row>
    <row r="235" spans="1:11" s="2" customFormat="1" ht="45" x14ac:dyDescent="0.25">
      <c r="A235" s="8" t="s">
        <v>130</v>
      </c>
      <c r="B235" s="2" t="s">
        <v>9</v>
      </c>
      <c r="C235" s="2" t="s">
        <v>16</v>
      </c>
      <c r="D235" s="6" t="s">
        <v>621</v>
      </c>
      <c r="E235" s="6" t="s">
        <v>622</v>
      </c>
      <c r="F235" s="6" t="s">
        <v>87</v>
      </c>
      <c r="G235" s="2" t="s">
        <v>197</v>
      </c>
      <c r="H235" s="2" t="s">
        <v>156</v>
      </c>
      <c r="I235" s="2" t="s">
        <v>122</v>
      </c>
      <c r="J235" s="2" t="s">
        <v>157</v>
      </c>
      <c r="K235" s="2" t="s">
        <v>639</v>
      </c>
    </row>
    <row r="236" spans="1:11" s="2" customFormat="1" ht="45" x14ac:dyDescent="0.25">
      <c r="A236" s="8" t="s">
        <v>279</v>
      </c>
      <c r="B236" s="2" t="s">
        <v>11</v>
      </c>
      <c r="C236" s="2" t="s">
        <v>273</v>
      </c>
      <c r="D236" s="6" t="s">
        <v>274</v>
      </c>
      <c r="E236" s="6" t="s">
        <v>275</v>
      </c>
      <c r="F236" s="6" t="s">
        <v>276</v>
      </c>
      <c r="G236" s="2" t="s">
        <v>169</v>
      </c>
      <c r="H236" s="2" t="s">
        <v>158</v>
      </c>
      <c r="I236" s="2" t="s">
        <v>119</v>
      </c>
      <c r="J236" s="2">
        <v>0.1</v>
      </c>
      <c r="K236" s="2" t="s">
        <v>639</v>
      </c>
    </row>
    <row r="237" spans="1:11" s="2" customFormat="1" ht="45" x14ac:dyDescent="0.25">
      <c r="A237" s="8" t="s">
        <v>279</v>
      </c>
      <c r="B237" s="2" t="s">
        <v>14</v>
      </c>
      <c r="C237" s="2" t="s">
        <v>353</v>
      </c>
      <c r="D237" s="6" t="s">
        <v>384</v>
      </c>
      <c r="E237" s="6" t="s">
        <v>385</v>
      </c>
      <c r="F237" s="6" t="s">
        <v>386</v>
      </c>
      <c r="G237" s="2" t="s">
        <v>169</v>
      </c>
      <c r="H237" s="2" t="s">
        <v>156</v>
      </c>
      <c r="I237" s="2" t="s">
        <v>119</v>
      </c>
      <c r="J237" s="2" t="s">
        <v>180</v>
      </c>
      <c r="K237" s="2" t="s">
        <v>640</v>
      </c>
    </row>
    <row r="238" spans="1:11" s="2" customFormat="1" ht="60" x14ac:dyDescent="0.25">
      <c r="A238" s="8" t="s">
        <v>131</v>
      </c>
      <c r="B238" s="2" t="s">
        <v>9</v>
      </c>
      <c r="C238" s="2" t="s">
        <v>162</v>
      </c>
      <c r="D238" s="6" t="s">
        <v>163</v>
      </c>
      <c r="E238" s="6" t="s">
        <v>59</v>
      </c>
      <c r="F238" s="6" t="s">
        <v>88</v>
      </c>
      <c r="G238" s="2" t="s">
        <v>164</v>
      </c>
      <c r="H238" s="2" t="s">
        <v>156</v>
      </c>
      <c r="I238" s="2" t="s">
        <v>119</v>
      </c>
      <c r="J238" s="2">
        <v>0.1</v>
      </c>
      <c r="K238" s="2" t="s">
        <v>640</v>
      </c>
    </row>
    <row r="239" spans="1:11" s="2" customFormat="1" ht="60" x14ac:dyDescent="0.25">
      <c r="A239" s="8" t="s">
        <v>131</v>
      </c>
      <c r="B239" s="2" t="s">
        <v>11</v>
      </c>
      <c r="C239" s="2" t="s">
        <v>184</v>
      </c>
      <c r="D239" s="6" t="s">
        <v>199</v>
      </c>
      <c r="E239" s="6" t="s">
        <v>200</v>
      </c>
      <c r="F239" s="6" t="s">
        <v>201</v>
      </c>
      <c r="G239" s="2" t="s">
        <v>169</v>
      </c>
      <c r="H239" s="2" t="s">
        <v>202</v>
      </c>
      <c r="I239" s="2" t="s">
        <v>119</v>
      </c>
      <c r="J239" s="2">
        <v>0.1</v>
      </c>
      <c r="K239" s="2" t="s">
        <v>640</v>
      </c>
    </row>
    <row r="240" spans="1:11" s="2" customFormat="1" ht="75" x14ac:dyDescent="0.25">
      <c r="A240" s="8" t="s">
        <v>131</v>
      </c>
      <c r="B240" s="2" t="s">
        <v>11</v>
      </c>
      <c r="C240" s="2" t="s">
        <v>227</v>
      </c>
      <c r="D240" s="6" t="s">
        <v>233</v>
      </c>
      <c r="E240" s="6" t="s">
        <v>63</v>
      </c>
      <c r="F240" s="6" t="s">
        <v>94</v>
      </c>
      <c r="G240" s="2" t="s">
        <v>169</v>
      </c>
      <c r="H240" s="2" t="s">
        <v>156</v>
      </c>
      <c r="I240" s="2" t="s">
        <v>120</v>
      </c>
      <c r="J240" s="2" t="s">
        <v>180</v>
      </c>
      <c r="K240" s="2" t="s">
        <v>639</v>
      </c>
    </row>
    <row r="241" spans="1:11" s="2" customFormat="1" ht="75" x14ac:dyDescent="0.25">
      <c r="A241" s="8" t="s">
        <v>131</v>
      </c>
      <c r="B241" s="2" t="s">
        <v>11</v>
      </c>
      <c r="C241" s="2" t="s">
        <v>20</v>
      </c>
      <c r="D241" s="6" t="s">
        <v>236</v>
      </c>
      <c r="E241" s="6" t="s">
        <v>237</v>
      </c>
      <c r="F241" s="6" t="s">
        <v>238</v>
      </c>
      <c r="G241" s="2" t="s">
        <v>169</v>
      </c>
      <c r="H241" s="2" t="s">
        <v>156</v>
      </c>
      <c r="I241" s="2" t="s">
        <v>239</v>
      </c>
      <c r="J241" s="2" t="s">
        <v>180</v>
      </c>
      <c r="K241" s="2" t="s">
        <v>640</v>
      </c>
    </row>
    <row r="242" spans="1:11" s="2" customFormat="1" ht="60" x14ac:dyDescent="0.25">
      <c r="A242" s="8" t="s">
        <v>131</v>
      </c>
      <c r="B242" s="2" t="s">
        <v>11</v>
      </c>
      <c r="C242" s="2" t="s">
        <v>261</v>
      </c>
      <c r="D242" s="6" t="s">
        <v>262</v>
      </c>
      <c r="E242" s="6" t="s">
        <v>64</v>
      </c>
      <c r="F242" s="6" t="s">
        <v>95</v>
      </c>
      <c r="G242" s="2" t="s">
        <v>169</v>
      </c>
      <c r="H242" s="2" t="s">
        <v>158</v>
      </c>
      <c r="I242" s="2" t="s">
        <v>256</v>
      </c>
      <c r="J242" s="2">
        <v>0.1</v>
      </c>
      <c r="K242" s="2" t="s">
        <v>639</v>
      </c>
    </row>
    <row r="243" spans="1:11" s="2" customFormat="1" ht="45" x14ac:dyDescent="0.25">
      <c r="A243" s="8" t="s">
        <v>131</v>
      </c>
      <c r="B243" s="2" t="s">
        <v>11</v>
      </c>
      <c r="C243" s="2" t="s">
        <v>273</v>
      </c>
      <c r="D243" s="6" t="s">
        <v>274</v>
      </c>
      <c r="E243" s="6" t="s">
        <v>275</v>
      </c>
      <c r="F243" s="6" t="s">
        <v>276</v>
      </c>
      <c r="G243" s="2" t="s">
        <v>169</v>
      </c>
      <c r="H243" s="2" t="s">
        <v>158</v>
      </c>
      <c r="I243" s="2" t="s">
        <v>119</v>
      </c>
      <c r="J243" s="2">
        <v>0.1</v>
      </c>
      <c r="K243" s="2" t="s">
        <v>639</v>
      </c>
    </row>
    <row r="244" spans="1:11" s="2" customFormat="1" ht="60" x14ac:dyDescent="0.25">
      <c r="A244" s="8" t="s">
        <v>131</v>
      </c>
      <c r="B244" s="2" t="s">
        <v>12</v>
      </c>
      <c r="C244" s="2" t="s">
        <v>25</v>
      </c>
      <c r="D244" s="6" t="s">
        <v>292</v>
      </c>
      <c r="E244" s="6" t="s">
        <v>293</v>
      </c>
      <c r="F244" s="6" t="s">
        <v>294</v>
      </c>
      <c r="G244" s="2" t="s">
        <v>197</v>
      </c>
      <c r="H244" s="2" t="s">
        <v>156</v>
      </c>
      <c r="I244" s="2" t="s">
        <v>119</v>
      </c>
      <c r="J244" s="2" t="s">
        <v>180</v>
      </c>
      <c r="K244" s="2" t="s">
        <v>639</v>
      </c>
    </row>
    <row r="245" spans="1:11" s="2" customFormat="1" ht="60" x14ac:dyDescent="0.25">
      <c r="A245" s="8" t="s">
        <v>131</v>
      </c>
      <c r="B245" s="2" t="s">
        <v>14</v>
      </c>
      <c r="C245" s="2" t="s">
        <v>315</v>
      </c>
      <c r="D245" s="6" t="s">
        <v>47</v>
      </c>
      <c r="E245" s="6" t="s">
        <v>349</v>
      </c>
      <c r="F245" s="6" t="s">
        <v>103</v>
      </c>
      <c r="G245" s="2" t="s">
        <v>169</v>
      </c>
      <c r="H245" s="2" t="s">
        <v>156</v>
      </c>
      <c r="I245" s="2" t="s">
        <v>119</v>
      </c>
      <c r="J245" s="2" t="s">
        <v>180</v>
      </c>
      <c r="K245" s="2" t="s">
        <v>640</v>
      </c>
    </row>
    <row r="246" spans="1:11" s="2" customFormat="1" ht="60" x14ac:dyDescent="0.25">
      <c r="A246" s="8" t="s">
        <v>131</v>
      </c>
      <c r="B246" s="2" t="s">
        <v>14</v>
      </c>
      <c r="C246" s="2" t="s">
        <v>353</v>
      </c>
      <c r="D246" s="6" t="s">
        <v>387</v>
      </c>
      <c r="E246" s="6" t="s">
        <v>388</v>
      </c>
      <c r="F246" s="6" t="s">
        <v>389</v>
      </c>
      <c r="G246" s="2" t="s">
        <v>169</v>
      </c>
      <c r="H246" s="2" t="s">
        <v>156</v>
      </c>
      <c r="I246" s="2" t="s">
        <v>119</v>
      </c>
      <c r="J246" s="2" t="s">
        <v>180</v>
      </c>
      <c r="K246" s="2" t="s">
        <v>640</v>
      </c>
    </row>
    <row r="247" spans="1:11" s="2" customFormat="1" ht="60" x14ac:dyDescent="0.25">
      <c r="A247" s="8" t="s">
        <v>131</v>
      </c>
      <c r="B247" s="2" t="s">
        <v>15</v>
      </c>
      <c r="C247" s="2" t="s">
        <v>26</v>
      </c>
      <c r="D247" s="6" t="s">
        <v>433</v>
      </c>
      <c r="E247" s="6" t="s">
        <v>434</v>
      </c>
      <c r="F247" s="6" t="s">
        <v>435</v>
      </c>
      <c r="G247" s="2" t="s">
        <v>169</v>
      </c>
      <c r="H247" s="2" t="s">
        <v>156</v>
      </c>
      <c r="I247" s="2" t="s">
        <v>403</v>
      </c>
      <c r="J247" s="2" t="s">
        <v>180</v>
      </c>
      <c r="K247" s="2" t="s">
        <v>640</v>
      </c>
    </row>
    <row r="248" spans="1:11" s="2" customFormat="1" ht="60" x14ac:dyDescent="0.25">
      <c r="A248" s="8" t="s">
        <v>131</v>
      </c>
      <c r="B248" s="2" t="s">
        <v>15</v>
      </c>
      <c r="C248" s="2" t="s">
        <v>450</v>
      </c>
      <c r="D248" s="6" t="s">
        <v>451</v>
      </c>
      <c r="E248" s="6" t="s">
        <v>452</v>
      </c>
      <c r="F248" s="6" t="s">
        <v>453</v>
      </c>
      <c r="G248" s="2" t="s">
        <v>197</v>
      </c>
      <c r="H248" s="2" t="s">
        <v>156</v>
      </c>
      <c r="I248" s="19">
        <v>1</v>
      </c>
      <c r="J248" s="2" t="s">
        <v>180</v>
      </c>
      <c r="K248" s="2" t="s">
        <v>640</v>
      </c>
    </row>
    <row r="249" spans="1:11" s="2" customFormat="1" ht="60" x14ac:dyDescent="0.25">
      <c r="A249" s="8" t="s">
        <v>131</v>
      </c>
      <c r="B249" s="2" t="s">
        <v>15</v>
      </c>
      <c r="C249" s="2" t="s">
        <v>559</v>
      </c>
      <c r="D249" s="6" t="s">
        <v>578</v>
      </c>
      <c r="E249" s="6" t="s">
        <v>579</v>
      </c>
      <c r="F249" s="6" t="s">
        <v>580</v>
      </c>
      <c r="G249" s="2" t="s">
        <v>169</v>
      </c>
      <c r="H249" s="2" t="s">
        <v>158</v>
      </c>
      <c r="I249" s="2" t="s">
        <v>119</v>
      </c>
      <c r="J249" s="2">
        <v>0.1</v>
      </c>
      <c r="K249" s="2" t="s">
        <v>640</v>
      </c>
    </row>
    <row r="250" spans="1:11" s="2" customFormat="1" ht="45" x14ac:dyDescent="0.25">
      <c r="A250" s="8" t="s">
        <v>131</v>
      </c>
      <c r="B250" s="2" t="s">
        <v>9</v>
      </c>
      <c r="C250" s="2" t="s">
        <v>16</v>
      </c>
      <c r="D250" s="6" t="s">
        <v>621</v>
      </c>
      <c r="E250" s="6" t="s">
        <v>622</v>
      </c>
      <c r="F250" s="6" t="s">
        <v>87</v>
      </c>
      <c r="G250" s="2" t="s">
        <v>197</v>
      </c>
      <c r="H250" s="2" t="s">
        <v>156</v>
      </c>
      <c r="I250" s="2" t="s">
        <v>122</v>
      </c>
      <c r="J250" s="2" t="s">
        <v>157</v>
      </c>
      <c r="K250" s="2" t="s">
        <v>639</v>
      </c>
    </row>
    <row r="251" spans="1:11" s="2" customFormat="1" ht="60" x14ac:dyDescent="0.25">
      <c r="A251" s="8" t="s">
        <v>160</v>
      </c>
      <c r="B251" s="2" t="s">
        <v>9</v>
      </c>
      <c r="C251" s="2" t="s">
        <v>162</v>
      </c>
      <c r="D251" s="6" t="s">
        <v>163</v>
      </c>
      <c r="E251" s="6" t="s">
        <v>59</v>
      </c>
      <c r="F251" s="6" t="s">
        <v>88</v>
      </c>
      <c r="G251" s="2" t="s">
        <v>164</v>
      </c>
      <c r="H251" s="2" t="s">
        <v>156</v>
      </c>
      <c r="I251" s="2" t="s">
        <v>119</v>
      </c>
      <c r="J251" s="2">
        <v>0.1</v>
      </c>
      <c r="K251" s="2" t="s">
        <v>640</v>
      </c>
    </row>
    <row r="252" spans="1:11" s="2" customFormat="1" ht="60" x14ac:dyDescent="0.25">
      <c r="A252" s="8" t="s">
        <v>160</v>
      </c>
      <c r="B252" s="2" t="s">
        <v>11</v>
      </c>
      <c r="C252" s="2" t="s">
        <v>184</v>
      </c>
      <c r="D252" s="6" t="s">
        <v>203</v>
      </c>
      <c r="E252" s="6" t="s">
        <v>200</v>
      </c>
      <c r="F252" s="6" t="s">
        <v>201</v>
      </c>
      <c r="G252" s="2" t="s">
        <v>169</v>
      </c>
      <c r="H252" s="2" t="s">
        <v>156</v>
      </c>
      <c r="I252" s="2" t="s">
        <v>119</v>
      </c>
      <c r="J252" s="2" t="s">
        <v>180</v>
      </c>
      <c r="K252" s="2" t="s">
        <v>640</v>
      </c>
    </row>
    <row r="253" spans="1:11" s="2" customFormat="1" ht="75" x14ac:dyDescent="0.25">
      <c r="A253" s="8" t="s">
        <v>160</v>
      </c>
      <c r="B253" s="2" t="s">
        <v>11</v>
      </c>
      <c r="C253" s="2" t="s">
        <v>227</v>
      </c>
      <c r="D253" s="6" t="s">
        <v>233</v>
      </c>
      <c r="E253" s="6" t="s">
        <v>63</v>
      </c>
      <c r="F253" s="6" t="s">
        <v>94</v>
      </c>
      <c r="G253" s="2" t="s">
        <v>169</v>
      </c>
      <c r="H253" s="2" t="s">
        <v>156</v>
      </c>
      <c r="I253" s="2" t="s">
        <v>120</v>
      </c>
      <c r="J253" s="2" t="s">
        <v>180</v>
      </c>
      <c r="K253" s="2" t="s">
        <v>639</v>
      </c>
    </row>
    <row r="254" spans="1:11" s="2" customFormat="1" ht="75" x14ac:dyDescent="0.25">
      <c r="A254" s="8" t="s">
        <v>160</v>
      </c>
      <c r="B254" s="2" t="s">
        <v>11</v>
      </c>
      <c r="C254" s="2" t="s">
        <v>20</v>
      </c>
      <c r="D254" s="6" t="s">
        <v>236</v>
      </c>
      <c r="E254" s="6" t="s">
        <v>237</v>
      </c>
      <c r="F254" s="6" t="s">
        <v>238</v>
      </c>
      <c r="G254" s="2" t="s">
        <v>169</v>
      </c>
      <c r="H254" s="2" t="s">
        <v>156</v>
      </c>
      <c r="I254" s="2" t="s">
        <v>239</v>
      </c>
      <c r="J254" s="2" t="s">
        <v>180</v>
      </c>
      <c r="K254" s="2" t="s">
        <v>640</v>
      </c>
    </row>
    <row r="255" spans="1:11" s="2" customFormat="1" ht="60" x14ac:dyDescent="0.25">
      <c r="A255" s="8" t="s">
        <v>160</v>
      </c>
      <c r="B255" s="2" t="s">
        <v>11</v>
      </c>
      <c r="C255" s="2" t="s">
        <v>261</v>
      </c>
      <c r="D255" s="6" t="s">
        <v>262</v>
      </c>
      <c r="E255" s="6" t="s">
        <v>64</v>
      </c>
      <c r="F255" s="6" t="s">
        <v>95</v>
      </c>
      <c r="G255" s="2" t="s">
        <v>169</v>
      </c>
      <c r="H255" s="2" t="s">
        <v>158</v>
      </c>
      <c r="I255" s="2" t="s">
        <v>256</v>
      </c>
      <c r="J255" s="2">
        <v>0.1</v>
      </c>
      <c r="K255" s="2" t="s">
        <v>639</v>
      </c>
    </row>
    <row r="256" spans="1:11" s="2" customFormat="1" ht="45" x14ac:dyDescent="0.25">
      <c r="A256" s="8" t="s">
        <v>160</v>
      </c>
      <c r="B256" s="2" t="s">
        <v>11</v>
      </c>
      <c r="C256" s="2" t="s">
        <v>273</v>
      </c>
      <c r="D256" s="6" t="s">
        <v>274</v>
      </c>
      <c r="E256" s="6" t="s">
        <v>275</v>
      </c>
      <c r="F256" s="6" t="s">
        <v>276</v>
      </c>
      <c r="G256" s="2" t="s">
        <v>169</v>
      </c>
      <c r="H256" s="2" t="s">
        <v>158</v>
      </c>
      <c r="I256" s="2" t="s">
        <v>119</v>
      </c>
      <c r="J256" s="2">
        <v>0.1</v>
      </c>
      <c r="K256" s="2" t="s">
        <v>639</v>
      </c>
    </row>
    <row r="257" spans="1:11" s="2" customFormat="1" ht="60" x14ac:dyDescent="0.25">
      <c r="A257" s="8" t="s">
        <v>160</v>
      </c>
      <c r="B257" s="2" t="s">
        <v>12</v>
      </c>
      <c r="C257" s="2" t="s">
        <v>25</v>
      </c>
      <c r="D257" s="6" t="s">
        <v>297</v>
      </c>
      <c r="E257" s="6" t="s">
        <v>298</v>
      </c>
      <c r="F257" s="6" t="s">
        <v>299</v>
      </c>
      <c r="G257" s="2" t="s">
        <v>197</v>
      </c>
      <c r="H257" s="2" t="s">
        <v>156</v>
      </c>
      <c r="I257" s="2" t="s">
        <v>300</v>
      </c>
      <c r="J257" s="2" t="s">
        <v>180</v>
      </c>
      <c r="K257" s="2" t="s">
        <v>639</v>
      </c>
    </row>
    <row r="258" spans="1:11" s="2" customFormat="1" ht="60" x14ac:dyDescent="0.25">
      <c r="A258" s="8" t="s">
        <v>160</v>
      </c>
      <c r="B258" s="2" t="s">
        <v>14</v>
      </c>
      <c r="C258" s="2" t="s">
        <v>315</v>
      </c>
      <c r="D258" s="6" t="s">
        <v>346</v>
      </c>
      <c r="E258" s="6" t="s">
        <v>347</v>
      </c>
      <c r="F258" s="6" t="s">
        <v>348</v>
      </c>
      <c r="G258" s="2" t="s">
        <v>169</v>
      </c>
      <c r="H258" s="2" t="s">
        <v>156</v>
      </c>
      <c r="I258" s="2" t="s">
        <v>119</v>
      </c>
      <c r="J258" s="2" t="s">
        <v>180</v>
      </c>
      <c r="K258" s="2" t="s">
        <v>640</v>
      </c>
    </row>
    <row r="259" spans="1:11" s="2" customFormat="1" ht="60" x14ac:dyDescent="0.25">
      <c r="A259" s="8" t="s">
        <v>160</v>
      </c>
      <c r="B259" s="2" t="s">
        <v>14</v>
      </c>
      <c r="C259" s="2" t="s">
        <v>353</v>
      </c>
      <c r="D259" s="6" t="s">
        <v>392</v>
      </c>
      <c r="E259" s="6" t="s">
        <v>393</v>
      </c>
      <c r="F259" s="6" t="s">
        <v>394</v>
      </c>
      <c r="G259" s="2" t="s">
        <v>169</v>
      </c>
      <c r="H259" s="2" t="s">
        <v>156</v>
      </c>
      <c r="I259" s="2" t="s">
        <v>119</v>
      </c>
      <c r="J259" s="2" t="s">
        <v>180</v>
      </c>
      <c r="K259" s="2" t="s">
        <v>640</v>
      </c>
    </row>
    <row r="260" spans="1:11" s="2" customFormat="1" ht="60" x14ac:dyDescent="0.25">
      <c r="A260" s="8" t="s">
        <v>160</v>
      </c>
      <c r="B260" s="2" t="s">
        <v>15</v>
      </c>
      <c r="C260" s="2" t="s">
        <v>26</v>
      </c>
      <c r="D260" s="6" t="s">
        <v>436</v>
      </c>
      <c r="E260" s="6" t="s">
        <v>437</v>
      </c>
      <c r="F260" s="6" t="s">
        <v>438</v>
      </c>
      <c r="G260" s="2" t="s">
        <v>169</v>
      </c>
      <c r="H260" s="2" t="s">
        <v>156</v>
      </c>
      <c r="I260" s="2" t="s">
        <v>403</v>
      </c>
      <c r="J260" s="2" t="s">
        <v>180</v>
      </c>
      <c r="K260" s="2" t="s">
        <v>640</v>
      </c>
    </row>
    <row r="261" spans="1:11" s="2" customFormat="1" ht="60" x14ac:dyDescent="0.25">
      <c r="A261" s="8" t="s">
        <v>160</v>
      </c>
      <c r="B261" s="2" t="s">
        <v>15</v>
      </c>
      <c r="C261" s="2" t="s">
        <v>450</v>
      </c>
      <c r="D261" s="6" t="s">
        <v>451</v>
      </c>
      <c r="E261" s="6" t="s">
        <v>452</v>
      </c>
      <c r="F261" s="6" t="s">
        <v>453</v>
      </c>
      <c r="G261" s="2" t="s">
        <v>197</v>
      </c>
      <c r="H261" s="2" t="s">
        <v>156</v>
      </c>
      <c r="I261" s="19">
        <v>1</v>
      </c>
      <c r="J261" s="2" t="s">
        <v>180</v>
      </c>
      <c r="K261" s="2" t="s">
        <v>640</v>
      </c>
    </row>
    <row r="262" spans="1:11" s="2" customFormat="1" ht="60" x14ac:dyDescent="0.25">
      <c r="A262" s="8" t="s">
        <v>160</v>
      </c>
      <c r="B262" s="2" t="s">
        <v>15</v>
      </c>
      <c r="C262" s="2" t="s">
        <v>559</v>
      </c>
      <c r="D262" s="6" t="s">
        <v>583</v>
      </c>
      <c r="E262" s="6" t="s">
        <v>584</v>
      </c>
      <c r="F262" s="6" t="s">
        <v>585</v>
      </c>
      <c r="G262" s="2" t="s">
        <v>169</v>
      </c>
      <c r="H262" s="2" t="s">
        <v>158</v>
      </c>
      <c r="I262" s="2" t="s">
        <v>119</v>
      </c>
      <c r="J262" s="2">
        <v>0.1</v>
      </c>
      <c r="K262" s="2" t="s">
        <v>640</v>
      </c>
    </row>
    <row r="263" spans="1:11" s="2" customFormat="1" ht="60" x14ac:dyDescent="0.25">
      <c r="A263" s="8" t="s">
        <v>132</v>
      </c>
      <c r="B263" s="2" t="s">
        <v>9</v>
      </c>
      <c r="C263" s="2" t="s">
        <v>162</v>
      </c>
      <c r="D263" s="6" t="s">
        <v>163</v>
      </c>
      <c r="E263" s="6" t="s">
        <v>59</v>
      </c>
      <c r="F263" s="6" t="s">
        <v>88</v>
      </c>
      <c r="G263" s="2" t="s">
        <v>164</v>
      </c>
      <c r="H263" s="2" t="s">
        <v>156</v>
      </c>
      <c r="I263" s="2" t="s">
        <v>119</v>
      </c>
      <c r="J263" s="2">
        <v>0.1</v>
      </c>
      <c r="K263" s="2" t="s">
        <v>640</v>
      </c>
    </row>
    <row r="264" spans="1:11" s="2" customFormat="1" ht="60" x14ac:dyDescent="0.25">
      <c r="A264" s="8" t="s">
        <v>132</v>
      </c>
      <c r="B264" s="2" t="s">
        <v>11</v>
      </c>
      <c r="C264" s="2" t="s">
        <v>184</v>
      </c>
      <c r="D264" s="6" t="s">
        <v>199</v>
      </c>
      <c r="E264" s="6" t="s">
        <v>200</v>
      </c>
      <c r="F264" s="6" t="s">
        <v>201</v>
      </c>
      <c r="G264" s="2" t="s">
        <v>169</v>
      </c>
      <c r="H264" s="2" t="s">
        <v>158</v>
      </c>
      <c r="I264" s="2" t="s">
        <v>119</v>
      </c>
      <c r="J264" s="2">
        <v>0.1</v>
      </c>
      <c r="K264" s="2" t="s">
        <v>640</v>
      </c>
    </row>
    <row r="265" spans="1:11" s="2" customFormat="1" ht="75" x14ac:dyDescent="0.25">
      <c r="A265" s="8" t="s">
        <v>132</v>
      </c>
      <c r="B265" s="2" t="s">
        <v>11</v>
      </c>
      <c r="C265" s="2" t="s">
        <v>227</v>
      </c>
      <c r="D265" s="6" t="s">
        <v>233</v>
      </c>
      <c r="E265" s="6" t="s">
        <v>63</v>
      </c>
      <c r="F265" s="6" t="s">
        <v>94</v>
      </c>
      <c r="G265" s="2" t="s">
        <v>169</v>
      </c>
      <c r="H265" s="2" t="s">
        <v>156</v>
      </c>
      <c r="I265" s="2" t="s">
        <v>120</v>
      </c>
      <c r="J265" s="2" t="s">
        <v>180</v>
      </c>
      <c r="K265" s="2" t="s">
        <v>639</v>
      </c>
    </row>
    <row r="266" spans="1:11" s="2" customFormat="1" ht="75" x14ac:dyDescent="0.25">
      <c r="A266" s="8" t="s">
        <v>132</v>
      </c>
      <c r="B266" s="2" t="s">
        <v>11</v>
      </c>
      <c r="C266" s="2" t="s">
        <v>20</v>
      </c>
      <c r="D266" s="6" t="s">
        <v>236</v>
      </c>
      <c r="E266" s="6" t="s">
        <v>237</v>
      </c>
      <c r="F266" s="6" t="s">
        <v>238</v>
      </c>
      <c r="G266" s="2" t="s">
        <v>169</v>
      </c>
      <c r="H266" s="2" t="s">
        <v>156</v>
      </c>
      <c r="I266" s="2" t="s">
        <v>239</v>
      </c>
      <c r="J266" s="2" t="s">
        <v>180</v>
      </c>
      <c r="K266" s="2" t="s">
        <v>640</v>
      </c>
    </row>
    <row r="267" spans="1:11" s="2" customFormat="1" ht="60" x14ac:dyDescent="0.25">
      <c r="A267" s="8" t="s">
        <v>132</v>
      </c>
      <c r="B267" s="2" t="s">
        <v>11</v>
      </c>
      <c r="C267" s="2" t="s">
        <v>261</v>
      </c>
      <c r="D267" s="6" t="s">
        <v>262</v>
      </c>
      <c r="E267" s="6" t="s">
        <v>64</v>
      </c>
      <c r="F267" s="6" t="s">
        <v>95</v>
      </c>
      <c r="G267" s="2" t="s">
        <v>169</v>
      </c>
      <c r="H267" s="2" t="s">
        <v>158</v>
      </c>
      <c r="I267" s="2" t="s">
        <v>256</v>
      </c>
      <c r="J267" s="2">
        <v>0.1</v>
      </c>
      <c r="K267" s="2" t="s">
        <v>639</v>
      </c>
    </row>
    <row r="268" spans="1:11" s="2" customFormat="1" ht="45" x14ac:dyDescent="0.25">
      <c r="A268" s="8" t="s">
        <v>132</v>
      </c>
      <c r="B268" s="2" t="s">
        <v>11</v>
      </c>
      <c r="C268" s="2" t="s">
        <v>273</v>
      </c>
      <c r="D268" s="6" t="s">
        <v>274</v>
      </c>
      <c r="E268" s="6" t="s">
        <v>275</v>
      </c>
      <c r="F268" s="6" t="s">
        <v>276</v>
      </c>
      <c r="G268" s="2" t="s">
        <v>169</v>
      </c>
      <c r="H268" s="2" t="s">
        <v>158</v>
      </c>
      <c r="I268" s="2" t="s">
        <v>119</v>
      </c>
      <c r="J268" s="2">
        <v>0.1</v>
      </c>
      <c r="K268" s="2" t="s">
        <v>639</v>
      </c>
    </row>
    <row r="269" spans="1:11" s="2" customFormat="1" ht="45" x14ac:dyDescent="0.25">
      <c r="A269" s="8" t="s">
        <v>132</v>
      </c>
      <c r="B269" s="2" t="s">
        <v>12</v>
      </c>
      <c r="C269" s="2" t="s">
        <v>25</v>
      </c>
      <c r="D269" s="6" t="s">
        <v>295</v>
      </c>
      <c r="E269" s="6" t="s">
        <v>296</v>
      </c>
      <c r="F269" s="6" t="s">
        <v>294</v>
      </c>
      <c r="G269" s="2" t="s">
        <v>197</v>
      </c>
      <c r="H269" s="2" t="s">
        <v>156</v>
      </c>
      <c r="I269" s="2" t="s">
        <v>119</v>
      </c>
      <c r="J269" s="2" t="s">
        <v>180</v>
      </c>
      <c r="K269" s="2" t="s">
        <v>639</v>
      </c>
    </row>
    <row r="270" spans="1:11" s="2" customFormat="1" ht="60" x14ac:dyDescent="0.25">
      <c r="A270" s="8" t="s">
        <v>132</v>
      </c>
      <c r="B270" s="2" t="s">
        <v>14</v>
      </c>
      <c r="C270" s="2" t="s">
        <v>315</v>
      </c>
      <c r="D270" s="6" t="s">
        <v>47</v>
      </c>
      <c r="E270" s="6" t="s">
        <v>349</v>
      </c>
      <c r="F270" s="6" t="s">
        <v>103</v>
      </c>
      <c r="G270" s="2" t="s">
        <v>169</v>
      </c>
      <c r="H270" s="2" t="s">
        <v>156</v>
      </c>
      <c r="I270" s="2" t="s">
        <v>119</v>
      </c>
      <c r="J270" s="2" t="s">
        <v>180</v>
      </c>
      <c r="K270" s="2" t="s">
        <v>640</v>
      </c>
    </row>
    <row r="271" spans="1:11" s="2" customFormat="1" ht="60" x14ac:dyDescent="0.25">
      <c r="A271" s="8" t="s">
        <v>132</v>
      </c>
      <c r="B271" s="2" t="s">
        <v>14</v>
      </c>
      <c r="C271" s="2" t="s">
        <v>353</v>
      </c>
      <c r="D271" s="6" t="s">
        <v>387</v>
      </c>
      <c r="E271" s="6" t="s">
        <v>390</v>
      </c>
      <c r="F271" s="6" t="s">
        <v>391</v>
      </c>
      <c r="G271" s="2" t="s">
        <v>169</v>
      </c>
      <c r="H271" s="2" t="s">
        <v>156</v>
      </c>
      <c r="I271" s="2" t="s">
        <v>119</v>
      </c>
      <c r="J271" s="2" t="s">
        <v>180</v>
      </c>
      <c r="K271" s="2" t="s">
        <v>640</v>
      </c>
    </row>
    <row r="272" spans="1:11" s="2" customFormat="1" ht="60" x14ac:dyDescent="0.25">
      <c r="A272" s="8" t="s">
        <v>132</v>
      </c>
      <c r="B272" s="2" t="s">
        <v>15</v>
      </c>
      <c r="C272" s="2" t="s">
        <v>26</v>
      </c>
      <c r="D272" s="6" t="s">
        <v>433</v>
      </c>
      <c r="E272" s="6" t="s">
        <v>434</v>
      </c>
      <c r="F272" s="6" t="s">
        <v>435</v>
      </c>
      <c r="G272" s="2" t="s">
        <v>169</v>
      </c>
      <c r="H272" s="2" t="s">
        <v>156</v>
      </c>
      <c r="I272" s="2" t="s">
        <v>403</v>
      </c>
      <c r="J272" s="2" t="s">
        <v>180</v>
      </c>
      <c r="K272" s="2" t="s">
        <v>640</v>
      </c>
    </row>
    <row r="273" spans="1:11" s="2" customFormat="1" ht="60" x14ac:dyDescent="0.25">
      <c r="A273" s="8" t="s">
        <v>132</v>
      </c>
      <c r="B273" s="2" t="s">
        <v>15</v>
      </c>
      <c r="C273" s="2" t="s">
        <v>450</v>
      </c>
      <c r="D273" s="6" t="s">
        <v>451</v>
      </c>
      <c r="E273" s="6" t="s">
        <v>452</v>
      </c>
      <c r="F273" s="6" t="s">
        <v>453</v>
      </c>
      <c r="G273" s="2" t="s">
        <v>197</v>
      </c>
      <c r="H273" s="2" t="s">
        <v>156</v>
      </c>
      <c r="I273" s="19">
        <v>1</v>
      </c>
      <c r="J273" s="2" t="s">
        <v>180</v>
      </c>
      <c r="K273" s="2" t="s">
        <v>640</v>
      </c>
    </row>
    <row r="274" spans="1:11" s="2" customFormat="1" ht="60" x14ac:dyDescent="0.25">
      <c r="A274" s="8" t="s">
        <v>132</v>
      </c>
      <c r="B274" s="2" t="s">
        <v>15</v>
      </c>
      <c r="C274" s="2" t="s">
        <v>559</v>
      </c>
      <c r="D274" s="6" t="s">
        <v>578</v>
      </c>
      <c r="E274" s="6" t="s">
        <v>581</v>
      </c>
      <c r="F274" s="6" t="s">
        <v>582</v>
      </c>
      <c r="G274" s="2" t="s">
        <v>169</v>
      </c>
      <c r="H274" s="2" t="s">
        <v>158</v>
      </c>
      <c r="I274" s="2" t="s">
        <v>119</v>
      </c>
      <c r="J274" s="2">
        <v>0.1</v>
      </c>
      <c r="K274" s="2" t="s">
        <v>640</v>
      </c>
    </row>
    <row r="275" spans="1:11" s="2" customFormat="1" ht="45" x14ac:dyDescent="0.25">
      <c r="A275" s="8" t="s">
        <v>132</v>
      </c>
      <c r="B275" s="2" t="s">
        <v>9</v>
      </c>
      <c r="C275" s="2" t="s">
        <v>16</v>
      </c>
      <c r="D275" s="6" t="s">
        <v>621</v>
      </c>
      <c r="E275" s="6" t="s">
        <v>622</v>
      </c>
      <c r="F275" s="6" t="s">
        <v>87</v>
      </c>
      <c r="G275" s="2" t="s">
        <v>197</v>
      </c>
      <c r="H275" s="2" t="s">
        <v>156</v>
      </c>
      <c r="I275" s="2" t="s">
        <v>122</v>
      </c>
      <c r="J275" s="2" t="s">
        <v>157</v>
      </c>
      <c r="K275" s="2" t="s">
        <v>639</v>
      </c>
    </row>
    <row r="276" spans="1:11" s="2" customFormat="1" ht="60" x14ac:dyDescent="0.25">
      <c r="A276" s="8" t="s">
        <v>150</v>
      </c>
      <c r="B276" s="2" t="s">
        <v>11</v>
      </c>
      <c r="C276" s="2" t="s">
        <v>184</v>
      </c>
      <c r="D276" s="6" t="s">
        <v>193</v>
      </c>
      <c r="E276" s="6" t="s">
        <v>194</v>
      </c>
      <c r="F276" s="6" t="s">
        <v>195</v>
      </c>
      <c r="G276" s="2" t="s">
        <v>169</v>
      </c>
      <c r="H276" s="2" t="s">
        <v>156</v>
      </c>
      <c r="I276" s="2" t="s">
        <v>119</v>
      </c>
      <c r="J276" s="2" t="s">
        <v>180</v>
      </c>
      <c r="K276" s="2" t="s">
        <v>640</v>
      </c>
    </row>
    <row r="277" spans="1:11" s="2" customFormat="1" ht="60" x14ac:dyDescent="0.25">
      <c r="A277" s="8" t="s">
        <v>150</v>
      </c>
      <c r="B277" s="2" t="s">
        <v>11</v>
      </c>
      <c r="C277" s="2" t="s">
        <v>21</v>
      </c>
      <c r="D277" s="6" t="s">
        <v>247</v>
      </c>
      <c r="E277" s="6" t="s">
        <v>246</v>
      </c>
      <c r="F277" s="6" t="s">
        <v>242</v>
      </c>
      <c r="G277" s="2" t="s">
        <v>197</v>
      </c>
      <c r="H277" s="2" t="s">
        <v>156</v>
      </c>
      <c r="I277" s="2" t="s">
        <v>119</v>
      </c>
      <c r="J277" s="2" t="s">
        <v>180</v>
      </c>
      <c r="K277" s="2" t="s">
        <v>639</v>
      </c>
    </row>
    <row r="278" spans="1:11" s="2" customFormat="1" ht="60" x14ac:dyDescent="0.25">
      <c r="A278" s="8" t="s">
        <v>150</v>
      </c>
      <c r="B278" s="2" t="s">
        <v>11</v>
      </c>
      <c r="C278" s="2" t="s">
        <v>261</v>
      </c>
      <c r="D278" s="6" t="s">
        <v>262</v>
      </c>
      <c r="E278" s="6" t="s">
        <v>64</v>
      </c>
      <c r="F278" s="6" t="s">
        <v>95</v>
      </c>
      <c r="G278" s="2" t="s">
        <v>169</v>
      </c>
      <c r="H278" s="2" t="s">
        <v>158</v>
      </c>
      <c r="I278" s="2" t="s">
        <v>256</v>
      </c>
      <c r="J278" s="2">
        <v>0.1</v>
      </c>
      <c r="K278" s="2" t="s">
        <v>639</v>
      </c>
    </row>
    <row r="279" spans="1:11" s="2" customFormat="1" ht="60" x14ac:dyDescent="0.25">
      <c r="A279" s="8" t="s">
        <v>150</v>
      </c>
      <c r="B279" s="2" t="s">
        <v>15</v>
      </c>
      <c r="C279" s="2" t="s">
        <v>26</v>
      </c>
      <c r="D279" s="6" t="s">
        <v>430</v>
      </c>
      <c r="E279" s="6" t="s">
        <v>431</v>
      </c>
      <c r="F279" s="6" t="s">
        <v>432</v>
      </c>
      <c r="G279" s="2" t="s">
        <v>169</v>
      </c>
      <c r="H279" s="2" t="s">
        <v>156</v>
      </c>
      <c r="I279" s="2" t="s">
        <v>403</v>
      </c>
      <c r="J279" s="2" t="s">
        <v>180</v>
      </c>
      <c r="K279" s="2" t="s">
        <v>640</v>
      </c>
    </row>
    <row r="280" spans="1:11" s="2" customFormat="1" ht="60" x14ac:dyDescent="0.25">
      <c r="A280" s="8" t="s">
        <v>150</v>
      </c>
      <c r="B280" s="2" t="s">
        <v>15</v>
      </c>
      <c r="C280" s="2" t="s">
        <v>450</v>
      </c>
      <c r="D280" s="6" t="s">
        <v>451</v>
      </c>
      <c r="E280" s="6" t="s">
        <v>452</v>
      </c>
      <c r="F280" s="6" t="s">
        <v>453</v>
      </c>
      <c r="G280" s="2" t="s">
        <v>197</v>
      </c>
      <c r="H280" s="2" t="s">
        <v>156</v>
      </c>
      <c r="I280" s="19">
        <v>1</v>
      </c>
      <c r="J280" s="2" t="s">
        <v>180</v>
      </c>
      <c r="K280" s="2" t="s">
        <v>640</v>
      </c>
    </row>
    <row r="281" spans="1:11" s="2" customFormat="1" ht="60" x14ac:dyDescent="0.25">
      <c r="A281" s="8" t="s">
        <v>150</v>
      </c>
      <c r="B281" s="2" t="s">
        <v>15</v>
      </c>
      <c r="C281" s="2" t="s">
        <v>467</v>
      </c>
      <c r="D281" s="6" t="s">
        <v>498</v>
      </c>
      <c r="E281" s="6" t="s">
        <v>499</v>
      </c>
      <c r="F281" s="6" t="s">
        <v>500</v>
      </c>
      <c r="G281" s="2" t="s">
        <v>169</v>
      </c>
      <c r="H281" s="2" t="s">
        <v>156</v>
      </c>
      <c r="I281" s="2" t="s">
        <v>119</v>
      </c>
      <c r="J281" s="2" t="s">
        <v>180</v>
      </c>
      <c r="K281" s="2" t="s">
        <v>640</v>
      </c>
    </row>
    <row r="282" spans="1:11" s="2" customFormat="1" ht="75" x14ac:dyDescent="0.25">
      <c r="A282" s="8" t="s">
        <v>150</v>
      </c>
      <c r="B282" s="2" t="s">
        <v>15</v>
      </c>
      <c r="C282" s="2" t="s">
        <v>34</v>
      </c>
      <c r="D282" s="6" t="s">
        <v>607</v>
      </c>
      <c r="E282" s="6" t="s">
        <v>608</v>
      </c>
      <c r="F282" s="6" t="s">
        <v>609</v>
      </c>
      <c r="G282" s="2" t="s">
        <v>169</v>
      </c>
      <c r="H282" s="2" t="s">
        <v>156</v>
      </c>
      <c r="I282" s="2" t="s">
        <v>610</v>
      </c>
      <c r="J282" s="2" t="s">
        <v>180</v>
      </c>
      <c r="K282" s="2" t="s">
        <v>640</v>
      </c>
    </row>
    <row r="283" spans="1:11" s="2" customFormat="1" ht="45" x14ac:dyDescent="0.25">
      <c r="A283" s="8" t="s">
        <v>150</v>
      </c>
      <c r="B283" s="2" t="s">
        <v>9</v>
      </c>
      <c r="C283" s="2" t="s">
        <v>16</v>
      </c>
      <c r="D283" s="6" t="s">
        <v>621</v>
      </c>
      <c r="E283" s="6" t="s">
        <v>622</v>
      </c>
      <c r="F283" s="6" t="s">
        <v>87</v>
      </c>
      <c r="G283" s="2" t="s">
        <v>197</v>
      </c>
      <c r="H283" s="2" t="s">
        <v>156</v>
      </c>
      <c r="I283" s="2" t="s">
        <v>122</v>
      </c>
      <c r="J283" s="2" t="s">
        <v>157</v>
      </c>
      <c r="K283" s="2" t="s">
        <v>639</v>
      </c>
    </row>
  </sheetData>
  <sortState xmlns:xlrd2="http://schemas.microsoft.com/office/spreadsheetml/2017/richdata2" ref="A2:J283">
    <sortCondition ref="A2:A283"/>
  </sortState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ReporteTemp</vt:lpstr>
      <vt:lpstr>Hoja1</vt:lpstr>
      <vt:lpstr>BaseMediciones</vt:lpstr>
      <vt:lpstr>Indicadores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Valeria Castillo - Calidad CDT</dc:creator>
  <cp:lastModifiedBy>Valeria Castillo - Calidad CDT</cp:lastModifiedBy>
  <dcterms:created xsi:type="dcterms:W3CDTF">2025-05-27T16:38:52Z</dcterms:created>
  <dcterms:modified xsi:type="dcterms:W3CDTF">2025-10-29T17:45:35Z</dcterms:modified>
</cp:coreProperties>
</file>